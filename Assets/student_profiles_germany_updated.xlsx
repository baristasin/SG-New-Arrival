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https://d.docs.live.net/bff4eea566e77918/Cologne Game Lab_MSc/Master_GDR/Sem2_Serious Game/Data/"/>
    </mc:Choice>
  </mc:AlternateContent>
  <xr:revisionPtr revIDLastSave="710" documentId="11_9EA20A7ADB75CA6F684AE8564E5DCE3A374EA134" xr6:coauthVersionLast="47" xr6:coauthVersionMax="47" xr10:uidLastSave="{B55DFC73-8A03-4500-B9FA-FBAD2CF7374C}"/>
  <bookViews>
    <workbookView xWindow="-120" yWindow="-120" windowWidth="29040" windowHeight="15720" xr2:uid="{00000000-000D-0000-FFFF-FFFF00000000}"/>
  </bookViews>
  <sheets>
    <sheet name="Student Profiles" sheetId="1" r:id="rId1"/>
    <sheet name="Anmeldung_unnecessary info" sheetId="2" r:id="rId2"/>
    <sheet name="Apartments" sheetId="3" r:id="rId3"/>
    <sheet name="Accom_match" sheetId="5" r:id="rId4"/>
  </sheets>
  <definedNames>
    <definedName name="_xlnm._FilterDatabase" localSheetId="2" hidden="1">Apartments!$I$1:$I$31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0" i="1" l="1"/>
  <c r="X7" i="1"/>
  <c r="X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tc={EA576A25-C8E8-4BB0-86E4-8012F9BC9E09}</author>
  </authors>
  <commentList>
    <comment ref="C1" authorId="0" shapeId="0" xr:uid="{EA576A25-C8E8-4BB0-86E4-8012F9BC9E09}">
      <text>
        <t>[Threaded comment]
Your version of Excel allows you to read this threaded comment; however, any edits to it will get removed if the file is opened in a newer version of Excel. Learn more: https://go.microsoft.com/fwlink/?linkid=870924
Comment:
    Combine, First name, last name</t>
      </text>
    </comment>
  </commentList>
</comments>
</file>

<file path=xl/sharedStrings.xml><?xml version="1.0" encoding="utf-8"?>
<sst xmlns="http://schemas.openxmlformats.org/spreadsheetml/2006/main" count="695" uniqueCount="355">
  <si>
    <t>ID</t>
  </si>
  <si>
    <t>Profile</t>
  </si>
  <si>
    <t>First Name</t>
  </si>
  <si>
    <t>Last Name</t>
  </si>
  <si>
    <t>Nationality</t>
  </si>
  <si>
    <t>Place of Birth</t>
  </si>
  <si>
    <t>Date of Birth</t>
  </si>
  <si>
    <t>Language Skill German</t>
  </si>
  <si>
    <t>Language Skill English</t>
  </si>
  <si>
    <t>Gender</t>
  </si>
  <si>
    <t>Marital Status</t>
  </si>
  <si>
    <t>Budget</t>
  </si>
  <si>
    <t>Enrollment Status</t>
  </si>
  <si>
    <t>Address in Germany</t>
  </si>
  <si>
    <t>Day of Moving In</t>
  </si>
  <si>
    <t>Landlord</t>
  </si>
  <si>
    <t>Former Address Abroad</t>
  </si>
  <si>
    <t>Registered in Germany before -&gt; Schufa</t>
  </si>
  <si>
    <t>Passport Expiry Date</t>
  </si>
  <si>
    <t>Passport Issued</t>
  </si>
  <si>
    <t>Passport ID</t>
  </si>
  <si>
    <t>Admission Deadline</t>
  </si>
  <si>
    <t>Financial Funds</t>
  </si>
  <si>
    <t>Monthly Release</t>
  </si>
  <si>
    <t>IBAN</t>
  </si>
  <si>
    <t>Language Cert Level</t>
  </si>
  <si>
    <t>Language Cert Date</t>
  </si>
  <si>
    <t>Language Cert Provider</t>
  </si>
  <si>
    <t>APS Name</t>
  </si>
  <si>
    <t>Visa Payment Order</t>
  </si>
  <si>
    <t>Travel Insurance Person</t>
  </si>
  <si>
    <t>Photos Total</t>
  </si>
  <si>
    <t>Photos quality</t>
  </si>
  <si>
    <t>check passport</t>
  </si>
  <si>
    <t>check Letter of Admission</t>
  </si>
  <si>
    <t>Check blocked account</t>
  </si>
  <si>
    <t>Check Language Certificate</t>
  </si>
  <si>
    <t>check APS</t>
  </si>
  <si>
    <t>check Visa Payment Order</t>
  </si>
  <si>
    <t>check Travel Insurance</t>
  </si>
  <si>
    <t>Check biometric photos</t>
  </si>
  <si>
    <t>Row 1, Left</t>
  </si>
  <si>
    <t>Emma</t>
  </si>
  <si>
    <t>Fischer</t>
  </si>
  <si>
    <t>Austria</t>
  </si>
  <si>
    <t>Salzburg</t>
  </si>
  <si>
    <t>B2</t>
  </si>
  <si>
    <t>C1</t>
  </si>
  <si>
    <t>Female</t>
  </si>
  <si>
    <t>Single</t>
  </si>
  <si>
    <t>medium</t>
  </si>
  <si>
    <t>not enrolled</t>
  </si>
  <si>
    <t>Hauptstraße 12, 50667 Köln</t>
  </si>
  <si>
    <t>Müller Wohnen GmbH</t>
  </si>
  <si>
    <t>Getreidegasse 4, 5020 Salzburg, Austria</t>
  </si>
  <si>
    <t>yes</t>
  </si>
  <si>
    <t>AT3940218</t>
  </si>
  <si>
    <t>DE12 1007 0000 0123 4567 89</t>
  </si>
  <si>
    <t>ROEFFEL</t>
  </si>
  <si>
    <t>not required</t>
  </si>
  <si>
    <t>Row 1, Right</t>
  </si>
  <si>
    <t>Yasmin</t>
  </si>
  <si>
    <t>Al-Amir</t>
  </si>
  <si>
    <t>Egypt</t>
  </si>
  <si>
    <t>Cairo</t>
  </si>
  <si>
    <t>A2</t>
  </si>
  <si>
    <t>Fluent</t>
  </si>
  <si>
    <t>low</t>
  </si>
  <si>
    <t>enrolled</t>
  </si>
  <si>
    <t>Universitätsstraße 45, 50996 Köln</t>
  </si>
  <si>
    <t>Kölner Studierendenwerk</t>
  </si>
  <si>
    <t>El-Tahrir Square 12, Cairo, Egypt</t>
  </si>
  <si>
    <t>no</t>
  </si>
  <si>
    <t>A94820194</t>
  </si>
  <si>
    <t>DE89 2008 0000 0987 6543 21</t>
  </si>
  <si>
    <t>Schiller</t>
  </si>
  <si>
    <t>Harit Al-Amir</t>
  </si>
  <si>
    <t>normal</t>
  </si>
  <si>
    <t>Row 2, Left</t>
  </si>
  <si>
    <t>Lucas</t>
  </si>
  <si>
    <t>Silva</t>
  </si>
  <si>
    <t>Brazil</t>
  </si>
  <si>
    <t>São Paulo</t>
  </si>
  <si>
    <t>B1</t>
  </si>
  <si>
    <t>Male</t>
  </si>
  <si>
    <t>Max-Planck-Straße 8, 50676 Köln</t>
  </si>
  <si>
    <t>Karl Hauser (Private Landlord)</t>
  </si>
  <si>
    <t>Avenida Paulista 1000, São Paulo, Brazil</t>
  </si>
  <si>
    <t>BR5820491</t>
  </si>
  <si>
    <t>DE45 1005 0000 0011 2233 44</t>
  </si>
  <si>
    <t>Row 2, Right</t>
  </si>
  <si>
    <t>Alex</t>
  </si>
  <si>
    <t>Taylor</t>
  </si>
  <si>
    <t>United Kingdom (England)</t>
  </si>
  <si>
    <t>Bristol</t>
  </si>
  <si>
    <t>A1</t>
  </si>
  <si>
    <t>Native</t>
  </si>
  <si>
    <t>Diverse</t>
  </si>
  <si>
    <t>high</t>
  </si>
  <si>
    <t>Karl-Marx-Straße 22, 50672 Köln</t>
  </si>
  <si>
    <t>WG-Gesucht Vermietung</t>
  </si>
  <si>
    <t>14 Park Street, Bristol, UK</t>
  </si>
  <si>
    <t>DE23 3001 0060 0055 6677 88</t>
  </si>
  <si>
    <t>Row 3, Left</t>
  </si>
  <si>
    <t>Mateo</t>
  </si>
  <si>
    <t>Fernandez</t>
  </si>
  <si>
    <t>Spain</t>
  </si>
  <si>
    <t>Barcelona</t>
  </si>
  <si>
    <t>Schillerstraße 5, 50677 Köln</t>
  </si>
  <si>
    <t>Zement Immobilien AG</t>
  </si>
  <si>
    <t>Carrer de Mallorca 250, Barcelona, Spain</t>
  </si>
  <si>
    <t>PAA830192</t>
  </si>
  <si>
    <t>DE67 5019 0000 0009 8765 43</t>
  </si>
  <si>
    <t>Row 3, Right</t>
  </si>
  <si>
    <t>Nia</t>
  </si>
  <si>
    <t>Okafor</t>
  </si>
  <si>
    <t>Nigeria</t>
  </si>
  <si>
    <t>Abuja</t>
  </si>
  <si>
    <t>Einsteinstraße 104, 50679 Köln</t>
  </si>
  <si>
    <t>5 Garki Way, Abuja, Nigeria</t>
  </si>
  <si>
    <t>A09482315</t>
  </si>
  <si>
    <t>DE34 1001 1001 0012 3456 78</t>
  </si>
  <si>
    <t>Triolingo</t>
  </si>
  <si>
    <t>37.5</t>
  </si>
  <si>
    <t>Nia Okafor</t>
  </si>
  <si>
    <t>Sunglass</t>
  </si>
  <si>
    <t>Row 4, Left</t>
  </si>
  <si>
    <t>Kenji</t>
  </si>
  <si>
    <t>Sato</t>
  </si>
  <si>
    <t>Japan</t>
  </si>
  <si>
    <t>Kyoto</t>
  </si>
  <si>
    <t>Heine-Allee 17, 50733 Köln</t>
  </si>
  <si>
    <t>Rhein-Wohnen GmbH</t>
  </si>
  <si>
    <t>21 Shijo-dori, Kyoto, Japan</t>
  </si>
  <si>
    <t>TR7301942</t>
  </si>
  <si>
    <t>DE56 5001 0517 0076 5432 10</t>
  </si>
  <si>
    <t>Row 4, Right</t>
  </si>
  <si>
    <t>Jordan</t>
  </si>
  <si>
    <t>Carter</t>
  </si>
  <si>
    <t>United States</t>
  </si>
  <si>
    <t>Chicago</t>
  </si>
  <si>
    <t>Rosenweg 3, 50823 Köln</t>
  </si>
  <si>
    <t>Sabine Schneider (Private Landlord)</t>
  </si>
  <si>
    <t>405 Michigan Ave, Chicago, USA</t>
  </si>
  <si>
    <t>DE78 1203 0000 0044 3322 11</t>
  </si>
  <si>
    <t>Spellit</t>
  </si>
  <si>
    <t>Row 5, Left</t>
  </si>
  <si>
    <t>Priya</t>
  </si>
  <si>
    <t>Sharma</t>
  </si>
  <si>
    <t>India</t>
  </si>
  <si>
    <t>Mumbai</t>
  </si>
  <si>
    <t>Lessingstraße 14, 50933 Köln</t>
  </si>
  <si>
    <t>L.E. Housing Group</t>
  </si>
  <si>
    <t>88 Marine Drive, Mumbai, India</t>
  </si>
  <si>
    <t>Z6409123&lt;</t>
  </si>
  <si>
    <t>DE90 7002 0270 0022 4466 88</t>
  </si>
  <si>
    <t>Priya Sharma</t>
  </si>
  <si>
    <t>blurred</t>
  </si>
  <si>
    <t>Row 5, Right</t>
  </si>
  <si>
    <t>Mei</t>
  </si>
  <si>
    <t>Lin</t>
  </si>
  <si>
    <t>Taiwan</t>
  </si>
  <si>
    <t>Taipei</t>
  </si>
  <si>
    <t>Am Schlossgarten 2, 50937 Köln</t>
  </si>
  <si>
    <t>Stiftung Schöner Wohnen</t>
  </si>
  <si>
    <t>102 Xinyi Road, Taipei, Taiwan</t>
  </si>
  <si>
    <t>X30291482</t>
  </si>
  <si>
    <t>DE21 3705 0198 0000 1234 56</t>
  </si>
  <si>
    <t>Mei Lin</t>
  </si>
  <si>
    <t>Category</t>
  </si>
  <si>
    <t>Information Type</t>
  </si>
  <si>
    <t>Concrete Example</t>
  </si>
  <si>
    <t>Financial &amp; Employment Data</t>
  </si>
  <si>
    <t>Monthly net/gross income</t>
  </si>
  <si>
    <t>€2,450.00 Gross income</t>
  </si>
  <si>
    <t>Current credit score</t>
  </si>
  <si>
    <t>SCHUFA Score: 98.4% (Excellent)</t>
  </si>
  <si>
    <t>Name and address of current employer</t>
  </si>
  <si>
    <t>TechSolutions GmbH, Musterstraße 45, 80331 München</t>
  </si>
  <si>
    <t>Bank account details</t>
  </si>
  <si>
    <t>DE89 3704 0044 0532 1234 56</t>
  </si>
  <si>
    <t>Employment contract details</t>
  </si>
  <si>
    <t>Permanent contract (Unbefristet), 6-month probationary period</t>
  </si>
  <si>
    <t>Value of personal assets or savings</t>
  </si>
  <si>
    <t>€12,500.00 in savings account, €4,200.00 in stock portfolio</t>
  </si>
  <si>
    <t>Living &amp; Household Details</t>
  </si>
  <si>
    <t>Monthly rent amount</t>
  </si>
  <si>
    <t>€850.00 rent including utilities</t>
  </si>
  <si>
    <t>Size of the apartment in square meters</t>
  </si>
  <si>
    <t>54 m²</t>
  </si>
  <si>
    <t>Number of rooms in the new property</t>
  </si>
  <si>
    <t>2 Rooms (1 Bedroom, 1 Living Room)</t>
  </si>
  <si>
    <t>Floor plan of the apartment</t>
  </si>
  <si>
    <t>Apartment_Layout_2nd_Floor.pdf</t>
  </si>
  <si>
    <t>Car ownership status</t>
  </si>
  <si>
    <t>Volkswagen Golf (License Plate: M-XY 1234)</t>
  </si>
  <si>
    <t>Type of heating system in the building</t>
  </si>
  <si>
    <t>Central District Heating (Fernwärme)</t>
  </si>
  <si>
    <t>Personal Lifestyle &amp; Background</t>
  </si>
  <si>
    <t>Dietary preferences or restrictions</t>
  </si>
  <si>
    <t>Peanut Allergy</t>
  </si>
  <si>
    <t>Hobbies and club memberships</t>
  </si>
  <si>
    <t>Disco Elysium</t>
  </si>
  <si>
    <t>1. FC Köln</t>
  </si>
  <si>
    <t>Social media handles</t>
  </si>
  <si>
    <t xml:space="preserve">LinkedIn: linkedin.com/in/johndoe123 </t>
  </si>
  <si>
    <t>Instagram: @john_doe_travels</t>
  </si>
  <si>
    <t>Medical history or health insurance provider</t>
  </si>
  <si>
    <t>Techniker Krankenkasse (TK)</t>
  </si>
  <si>
    <t>Identity &amp; Family Details</t>
  </si>
  <si>
    <t>High school or university graduation grades</t>
  </si>
  <si>
    <t>Bachelor of Science in Computer Science</t>
  </si>
  <si>
    <t>Parents' current occupations</t>
  </si>
  <si>
    <t>Father: Mechanical Engineer</t>
  </si>
  <si>
    <t>Mother: High School Teacher</t>
  </si>
  <si>
    <t>Blood type</t>
  </si>
  <si>
    <t>Blood type: A-positive (A+)</t>
  </si>
  <si>
    <t>Appartment</t>
  </si>
  <si>
    <t>Name</t>
  </si>
  <si>
    <t>Address</t>
  </si>
  <si>
    <t>English Skills</t>
  </si>
  <si>
    <t>Wohnungsgeberbescheinigung</t>
  </si>
  <si>
    <t>Schufa Demanded</t>
  </si>
  <si>
    <t>Price Category</t>
  </si>
  <si>
    <t>Type</t>
  </si>
  <si>
    <t>Kölner Studierendenwerk - Efferen</t>
  </si>
  <si>
    <t>Höninger Weg 100, 50969 Cologne</t>
  </si>
  <si>
    <t>Excellent</t>
  </si>
  <si>
    <t>Yes</t>
  </si>
  <si>
    <t>No</t>
  </si>
  <si>
    <t>Low</t>
  </si>
  <si>
    <t>Dormitory</t>
  </si>
  <si>
    <t>Südstadt Cozy Nest</t>
  </si>
  <si>
    <t>Chlodwigplatz 4, 50678 Cologne</t>
  </si>
  <si>
    <t>Anna Müller (Private)</t>
  </si>
  <si>
    <t>Medium</t>
  </si>
  <si>
    <t>Sublet</t>
  </si>
  <si>
    <t>Ehrenfeld Creative Hub</t>
  </si>
  <si>
    <t>Venloer Str. 230, 50823 Cologne</t>
  </si>
  <si>
    <t>Max &amp; Jonas (Flatmates)</t>
  </si>
  <si>
    <t>WG-Room</t>
  </si>
  <si>
    <t>No-Fun-Allowed Fort</t>
  </si>
  <si>
    <t>Marzellenstr. 44, 50667 Cologne</t>
  </si>
  <si>
    <t>Station Hostel GmbH</t>
  </si>
  <si>
    <t>Low (Per night basis)</t>
  </si>
  <si>
    <t>Hostel</t>
  </si>
  <si>
    <t>Modern Lindenthal Flat</t>
  </si>
  <si>
    <t>Dürener Str. 145, 50931 Cologne</t>
  </si>
  <si>
    <t>Vonovia SE</t>
  </si>
  <si>
    <t>Basic</t>
  </si>
  <si>
    <t>High</t>
  </si>
  <si>
    <t>Private Apartment</t>
  </si>
  <si>
    <t>Deutz Riverside Studio</t>
  </si>
  <si>
    <t>Gotenring 12, 50679 Cologne</t>
  </si>
  <si>
    <t>Dr. Thomas Weber</t>
  </si>
  <si>
    <t>Nippes Altbau Charm</t>
  </si>
  <si>
    <t>Neusser Str. 312, 50733 Cologne</t>
  </si>
  <si>
    <t>Sarah Schneider</t>
  </si>
  <si>
    <t>Intermediate</t>
  </si>
  <si>
    <t>Club Mate Hostel</t>
  </si>
  <si>
    <t>Richard-Wagner-Str. 39, 50674 Cologne</t>
  </si>
  <si>
    <t>Urban Stay GmbH</t>
  </si>
  <si>
    <t>Medium (Boutique hostel)</t>
  </si>
  <si>
    <t>Belgisches Viertel Loft</t>
  </si>
  <si>
    <t>Brüsseler Str. 88, 50674 Cologne</t>
  </si>
  <si>
    <t>Immobiliengruppe Rheinland</t>
  </si>
  <si>
    <t>Sülz Student Base</t>
  </si>
  <si>
    <t>Zülpicher Str. 280, 50937 Cologne</t>
  </si>
  <si>
    <t>Agnesviertel Temporary Home</t>
  </si>
  <si>
    <t>Neusser Platz 7, 50670 Cologne</t>
  </si>
  <si>
    <t>Christian Schulz</t>
  </si>
  <si>
    <t>Kalk Shared Living</t>
  </si>
  <si>
    <t>Kalker Hauptstraße 142, 51103 Cologne</t>
  </si>
  <si>
    <t>Amira &amp; Felix</t>
  </si>
  <si>
    <t>The Hangover Headquarters</t>
  </si>
  <si>
    <t>Barbarossaplatz 1, 50674 Cologne</t>
  </si>
  <si>
    <t>Black Sheep Management</t>
  </si>
  <si>
    <t>Low (Dorm bed basis)</t>
  </si>
  <si>
    <t>Mülheim Starter Flat</t>
  </si>
  <si>
    <t>Frankfurter Str. 55, 51065 Cologne</t>
  </si>
  <si>
    <t>LEG Immobilien</t>
  </si>
  <si>
    <t>Rodenkirchen Rhine View</t>
  </si>
  <si>
    <t>Hauptstraße 22, 50996 Cologne</t>
  </si>
  <si>
    <t>Elisabeth Becker</t>
  </si>
  <si>
    <t>None</t>
  </si>
  <si>
    <t>Braunsfeld Business Studio</t>
  </si>
  <si>
    <t>Aachener Str. 400, 50933 Cologne</t>
  </si>
  <si>
    <t>Zeitwohnhaus GmbH</t>
  </si>
  <si>
    <t>Zollstock Cozy Room</t>
  </si>
  <si>
    <t>Herthastraße 18, 50969 Cologne</t>
  </si>
  <si>
    <t>Lukas Klein</t>
  </si>
  <si>
    <t>Altstadt Tourist &amp; Longstay</t>
  </si>
  <si>
    <t>Heumarkt 3, 50667 Cologne</t>
  </si>
  <si>
    <t>City Hostel Cologne</t>
  </si>
  <si>
    <t>Chorweiler Highrise</t>
  </si>
  <si>
    <t>Florenzer Str. 5, 50765 Cologne</t>
  </si>
  <si>
    <t>Sahle Wohnen</t>
  </si>
  <si>
    <t>Riehl Green Living</t>
  </si>
  <si>
    <t>Stammheimer Str. 90, 50735 Cologne</t>
  </si>
  <si>
    <t>Michael Fischer</t>
  </si>
  <si>
    <t>Sülz Cozy Attic</t>
  </si>
  <si>
    <t>Berrenrather Str. 210, 50937 Cologne</t>
  </si>
  <si>
    <t>Laura &amp; Tim (Flatmates)</t>
  </si>
  <si>
    <t>Kölner Studiwerk - Müngersdorf</t>
  </si>
  <si>
    <t>Aachener Str. 750, 50933 Cologne</t>
  </si>
  <si>
    <t>Ehrenfeld Industrial Loft</t>
  </si>
  <si>
    <t>Lichtstraße 45, 50825 Cologne</t>
  </si>
  <si>
    <t>Rhein-Immo Entwicklungen</t>
  </si>
  <si>
    <t>Missed Connection Central</t>
  </si>
  <si>
    <t>Mauritiussteinweg 11, 50676 Cologne</t>
  </si>
  <si>
    <t>Hostel Köln GmbH</t>
  </si>
  <si>
    <t>Medium (Hotel/Hostel hybrid)</t>
  </si>
  <si>
    <t>Deutz Fairground Sublet</t>
  </si>
  <si>
    <t>Deutz-Mülheimer Str. 30, 50679 Cologne</t>
  </si>
  <si>
    <t>Tobias Wagner</t>
  </si>
  <si>
    <t>Lindenthal Family Dependance</t>
  </si>
  <si>
    <t>Gleueler Str. 180, 50935 Cologne</t>
  </si>
  <si>
    <t>Maria Janssen</t>
  </si>
  <si>
    <t>Nippes Community Flat</t>
  </si>
  <si>
    <t>Wilhelmstraße 12, 50733 Cologne</t>
  </si>
  <si>
    <t>Simon, Clara &amp; Mo</t>
  </si>
  <si>
    <t>Kalk Bright Studio</t>
  </si>
  <si>
    <t>Trimbornstraße 22, 51105 Cologne</t>
  </si>
  <si>
    <t>Gagfah S.A.</t>
  </si>
  <si>
    <t>Belgisches Viertel Short Stay</t>
  </si>
  <si>
    <t>Maastrichter Str. 15, 50674 Cologne</t>
  </si>
  <si>
    <t>Elena Petrou</t>
  </si>
  <si>
    <t>High (Furnished)</t>
  </si>
  <si>
    <t>Porz Riverside Starter</t>
  </si>
  <si>
    <t>Hauptstraße 410, 51143 Cologne</t>
  </si>
  <si>
    <t>GAG Immobilien AG</t>
  </si>
  <si>
    <t>Status</t>
  </si>
  <si>
    <t>Eligible Apartment Types</t>
  </si>
  <si>
    <t>Every Matching Apartment ID (# from previous lists)</t>
  </si>
  <si>
    <t>1. Salzburg, Austria</t>
  </si>
  <si>
    <t>Not Enrolled</t>
  </si>
  <si>
    <t>Private, Sublet, WG, Hostel (Can fulfill Schufa)</t>
  </si>
  <si>
    <t>All Private &amp; Corporate: #5, #6, #9, #14, #15, #16, #19, #23, #26, #28, #30</t>
  </si>
  <si>
    <t>All WG-Rooms &amp; Sublets: #2, #3, #7, #11, #12, #17, #20, #21, #25, #27, #29</t>
  </si>
  <si>
    <t>All Hostels: #4, #8, #13, #18, #24</t>
  </si>
  <si>
    <t>2. Cairo, Egypt</t>
  </si>
  <si>
    <t>Enrolled</t>
  </si>
  <si>
    <t>Dorms, Hostels, and No-Schufa WG/Sublets</t>
  </si>
  <si>
    <t>Dormitories: #1, #10, #22</t>
  </si>
  <si>
    <t>No-Schufa WG &amp; Sublets: #2, #7, #12, #17, #25, #27</t>
  </si>
  <si>
    <t>Hostels: #4, #8, #13, #18, #24</t>
  </si>
  <si>
    <t>3. São Paulo, Brazil</t>
  </si>
  <si>
    <t>4. Bristol, UK</t>
  </si>
  <si>
    <t>Dorms, Hostels, WG/Sublets (Some Schufa exceptions)</t>
  </si>
  <si>
    <t>5. Barcelona, Spain</t>
  </si>
  <si>
    <t>6. Abuja, Nigeria</t>
  </si>
  <si>
    <t>7. Kyoto, Japan</t>
  </si>
  <si>
    <t>8. Chicago, USA</t>
  </si>
  <si>
    <t>9. Mumbai, India</t>
  </si>
  <si>
    <t>10. Taipei, Taiwan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</si>
</sst>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7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  <font>
      <b/>
      <sz val="11"/>
      <color rgb="FFFFFFFF"/>
      <name val="Calibri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34495E"/>
        <bgColor rgb="FF34495E"/>
      </patternFill>
    </fill>
    <fill>
      <patternFill patternType="solid">
        <fgColor rgb="FFF2F4F4"/>
        <bgColor rgb="FFF2F4F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34495E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rgb="FFF2F4F4"/>
      </patternFill>
    </fill>
    <fill>
      <patternFill patternType="solid">
        <fgColor theme="9" tint="-0.249977111117893"/>
        <bgColor rgb="FF34495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14" fontId="2" fillId="3" borderId="2" xfId="0" applyNumberFormat="1" applyFont="1" applyFill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4" fillId="0" borderId="0" xfId="0" applyFont="1"/>
    <xf numFmtId="0" fontId="0" fillId="4" borderId="0" xfId="0" applyFill="1"/>
    <xf numFmtId="0" fontId="5" fillId="5" borderId="1" xfId="0" applyFont="1" applyFill="1" applyBorder="1" applyAlignment="1">
      <alignment horizontal="center" vertical="center" wrapText="1"/>
    </xf>
    <xf numFmtId="0" fontId="6" fillId="4" borderId="0" xfId="0" applyFont="1" applyFill="1"/>
    <xf numFmtId="164" fontId="2" fillId="0" borderId="2" xfId="0" applyNumberFormat="1" applyFont="1" applyBorder="1" applyAlignment="1">
      <alignment horizontal="center" vertical="center"/>
    </xf>
    <xf numFmtId="164" fontId="2" fillId="3" borderId="2" xfId="0" applyNumberFormat="1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</cellXfs>
  <cellStyles count="1">
    <cellStyle name="Normal" xfId="0" builtinId="0"/>
  </cellStyles>
  <dxfs count="3"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</xdr:row>
      <xdr:rowOff>1</xdr:rowOff>
    </xdr:from>
    <xdr:to>
      <xdr:col>2</xdr:col>
      <xdr:colOff>154073</xdr:colOff>
      <xdr:row>20</xdr:row>
      <xdr:rowOff>4374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4D231ADE-E958-6DE1-D560-559B743E73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429001"/>
          <a:ext cx="952708" cy="2290373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Ingo R." id="{24AFB96D-BD20-43D5-AEAB-E74760F99D8A}" userId="bff4eea566e77918" providerId="Windows Live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237378-51D7-48D5-BE45-155B2F54152D}" name="Tabelle1" displayName="Tabelle1" ref="A1:C23" totalsRowShown="0">
  <autoFilter ref="A1:C23" xr:uid="{C2237378-51D7-48D5-BE45-155B2F54152D}"/>
  <tableColumns count="3">
    <tableColumn id="1" xr3:uid="{AFA7007C-A67C-4B67-B75A-3C6BDD6348F5}" name="Category"/>
    <tableColumn id="2" xr3:uid="{8996F74C-6C7B-48F5-94FA-6A8CD1ECAE57}" name="Information Type"/>
    <tableColumn id="3" xr3:uid="{C7D77FFB-8E13-4A87-8F1B-F00C15C354B1}" name="Concrete Exampl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33F2B78-1BE9-4C7B-9A4C-4F90C943055A}" name="Tabelle4" displayName="Tabelle4" ref="A1:H31" totalsRowShown="0">
  <autoFilter ref="A1:H31" xr:uid="{D33F2B78-1BE9-4C7B-9A4C-4F90C943055A}"/>
  <tableColumns count="8">
    <tableColumn id="1" xr3:uid="{120C8E73-C7AC-438D-82BA-D8E4D5BDF24A}" name="Appartment"/>
    <tableColumn id="2" xr3:uid="{60D65153-99F5-4258-BDC4-495B13986896}" name="Name"/>
    <tableColumn id="4" xr3:uid="{0FE9626C-9496-404F-B45C-7BB4C1601FDD}" name="Address"/>
    <tableColumn id="5" xr3:uid="{ACC93719-C454-4A81-B587-1A10D282F33E}" name="Landlord"/>
    <tableColumn id="6" xr3:uid="{10A740B5-1F66-4A54-96A9-E29EE5076093}" name="English Skills"/>
    <tableColumn id="7" xr3:uid="{511E0F9D-FCD6-4312-898A-B1D9B445F036}" name="Wohnungsgeberbescheinigung" dataDxfId="2"/>
    <tableColumn id="8" xr3:uid="{A6F3E24F-6874-4338-95BF-02AE574DC779}" name="Schufa Demanded" dataDxfId="1"/>
    <tableColumn id="9" xr3:uid="{0035472D-50A5-4F5F-B4FC-B375A280FF74}" name="Price Category" dataDxfId="0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043D726-C6A7-4E72-9517-BF158AA327D8}" name="Tabelle2" displayName="Tabelle2" ref="A1:D31" totalsRowShown="0">
  <autoFilter ref="A1:D31" xr:uid="{9043D726-C6A7-4E72-9517-BF158AA327D8}"/>
  <tableColumns count="4">
    <tableColumn id="1" xr3:uid="{45854B1D-A9D5-41D8-9934-5E5F9B6BB434}" name="Name"/>
    <tableColumn id="2" xr3:uid="{8071CAC7-68FA-49DD-8E81-BD46428758B2}" name="Status"/>
    <tableColumn id="3" xr3:uid="{23D7950B-932F-4477-98CD-993B05A72AF9}" name="Eligible Apartment Types"/>
    <tableColumn id="4" xr3:uid="{F484C53E-6743-49C3-BCDC-C0407A448226}" name="Every Matching Apartment ID (# from previous lists)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" dT="2026-05-19T15:44:04.11" personId="{24AFB96D-BD20-43D5-AEAB-E74760F99D8A}" id="{EA576A25-C8E8-4BB0-86E4-8012F9BC9E09}">
    <text>Combine, First name, last name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1"/>
  <sheetViews>
    <sheetView tabSelected="1" topLeftCell="Z1" zoomScale="130" zoomScaleNormal="130" workbookViewId="0">
      <selection activeCell="AD5" sqref="AD5"/>
    </sheetView>
  </sheetViews>
  <sheetFormatPr defaultColWidth="9.140625" defaultRowHeight="22.5" customHeight="1"/>
  <cols>
    <col min="2" max="2" width="12" bestFit="1" customWidth="1"/>
    <col min="3" max="3" width="10.7109375" bestFit="1" customWidth="1"/>
    <col min="4" max="4" width="10.28515625" bestFit="1" customWidth="1"/>
    <col min="5" max="5" width="24.42578125" bestFit="1" customWidth="1"/>
    <col min="6" max="6" width="12.85546875" customWidth="1"/>
    <col min="7" max="7" width="12.42578125" bestFit="1" customWidth="1"/>
    <col min="8" max="8" width="21.28515625" bestFit="1" customWidth="1"/>
    <col min="9" max="9" width="20.28515625" bestFit="1" customWidth="1"/>
    <col min="10" max="10" width="7.7109375" customWidth="1"/>
    <col min="11" max="11" width="13.42578125" customWidth="1"/>
    <col min="12" max="12" width="8.42578125" bestFit="1" customWidth="1"/>
    <col min="13" max="13" width="16.85546875" bestFit="1" customWidth="1"/>
    <col min="14" max="14" width="31.140625" bestFit="1" customWidth="1"/>
    <col min="15" max="15" width="16" bestFit="1" customWidth="1"/>
    <col min="16" max="16" width="37.42578125" customWidth="1"/>
    <col min="17" max="17" width="36.85546875" customWidth="1"/>
    <col min="18" max="18" width="51" bestFit="1" customWidth="1"/>
    <col min="19" max="19" width="27.7109375" bestFit="1" customWidth="1"/>
    <col min="20" max="20" width="24" bestFit="1" customWidth="1"/>
    <col min="21" max="21" width="21.28515625" bestFit="1" customWidth="1"/>
    <col min="22" max="22" width="25" bestFit="1" customWidth="1"/>
    <col min="23" max="23" width="14.140625" bestFit="1" customWidth="1"/>
    <col min="24" max="24" width="16.140625" bestFit="1" customWidth="1"/>
    <col min="25" max="25" width="28.42578125" bestFit="1" customWidth="1"/>
    <col min="26" max="26" width="24.5703125" bestFit="1" customWidth="1"/>
    <col min="27" max="27" width="18.7109375" bestFit="1" customWidth="1"/>
    <col min="28" max="28" width="21.7109375" bestFit="1" customWidth="1"/>
    <col min="29" max="29" width="12.85546875" customWidth="1"/>
    <col min="30" max="30" width="18.7109375" bestFit="1" customWidth="1"/>
    <col min="31" max="31" width="22.28515625" bestFit="1" customWidth="1"/>
    <col min="32" max="32" width="17.5703125" bestFit="1" customWidth="1"/>
    <col min="33" max="33" width="19.42578125" bestFit="1" customWidth="1"/>
    <col min="34" max="34" width="14" bestFit="1" customWidth="1"/>
    <col min="35" max="35" width="24" bestFit="1" customWidth="1"/>
    <col min="36" max="36" width="21.28515625" bestFit="1" customWidth="1"/>
    <col min="37" max="37" width="25" bestFit="1" customWidth="1"/>
    <col min="38" max="38" width="12.5703125" bestFit="1" customWidth="1"/>
    <col min="39" max="39" width="13.85546875" bestFit="1" customWidth="1"/>
    <col min="40" max="40" width="21" bestFit="1" customWidth="1"/>
    <col min="41" max="41" width="22.140625" bestFit="1" customWidth="1"/>
  </cols>
  <sheetData>
    <row r="1" spans="1:41" ht="22.5" customHeight="1">
      <c r="A1" s="1" t="s">
        <v>0</v>
      </c>
      <c r="B1" s="1" t="s">
        <v>1</v>
      </c>
      <c r="C1" s="12" t="s">
        <v>2</v>
      </c>
      <c r="D1" s="12" t="s">
        <v>3</v>
      </c>
      <c r="E1" s="1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8" t="s">
        <v>11</v>
      </c>
      <c r="M1" s="8" t="s">
        <v>12</v>
      </c>
      <c r="N1" s="12" t="s">
        <v>13</v>
      </c>
      <c r="O1" s="12" t="s">
        <v>14</v>
      </c>
      <c r="P1" s="12" t="s">
        <v>15</v>
      </c>
      <c r="Q1" s="1" t="s">
        <v>16</v>
      </c>
      <c r="R1" s="1" t="s">
        <v>17</v>
      </c>
      <c r="S1" s="16" t="s">
        <v>18</v>
      </c>
      <c r="T1" s="16" t="s">
        <v>19</v>
      </c>
      <c r="U1" s="16" t="s">
        <v>20</v>
      </c>
      <c r="V1" s="16" t="s">
        <v>21</v>
      </c>
      <c r="W1" s="16" t="s">
        <v>22</v>
      </c>
      <c r="X1" s="16" t="s">
        <v>23</v>
      </c>
      <c r="Y1" s="16" t="s">
        <v>24</v>
      </c>
      <c r="Z1" s="16" t="s">
        <v>25</v>
      </c>
      <c r="AA1" s="17" t="s">
        <v>26</v>
      </c>
      <c r="AB1" s="17" t="s">
        <v>27</v>
      </c>
      <c r="AC1" s="17" t="s">
        <v>28</v>
      </c>
      <c r="AD1" s="16" t="s">
        <v>29</v>
      </c>
      <c r="AE1" s="17" t="s">
        <v>30</v>
      </c>
      <c r="AF1" s="16" t="s">
        <v>31</v>
      </c>
      <c r="AG1" s="16" t="s">
        <v>32</v>
      </c>
      <c r="AH1" s="16" t="s">
        <v>33</v>
      </c>
      <c r="AI1" s="16" t="s">
        <v>34</v>
      </c>
      <c r="AJ1" s="16" t="s">
        <v>35</v>
      </c>
      <c r="AK1" s="16" t="s">
        <v>36</v>
      </c>
      <c r="AL1" s="16" t="s">
        <v>37</v>
      </c>
      <c r="AM1" s="16" t="s">
        <v>38</v>
      </c>
      <c r="AN1" s="16" t="s">
        <v>39</v>
      </c>
      <c r="AO1" s="16" t="s">
        <v>40</v>
      </c>
    </row>
    <row r="2" spans="1:41" ht="22.5" customHeight="1">
      <c r="A2" s="2">
        <v>1</v>
      </c>
      <c r="B2" s="2" t="s">
        <v>41</v>
      </c>
      <c r="C2" s="3" t="s">
        <v>42</v>
      </c>
      <c r="D2" s="3" t="s">
        <v>43</v>
      </c>
      <c r="E2" s="2" t="s">
        <v>44</v>
      </c>
      <c r="F2" s="3" t="s">
        <v>45</v>
      </c>
      <c r="G2" s="6">
        <v>37908</v>
      </c>
      <c r="H2" s="2" t="s">
        <v>46</v>
      </c>
      <c r="I2" s="2" t="s">
        <v>47</v>
      </c>
      <c r="J2" s="2" t="s">
        <v>48</v>
      </c>
      <c r="K2" s="2" t="s">
        <v>49</v>
      </c>
      <c r="L2" s="2" t="s">
        <v>50</v>
      </c>
      <c r="M2" s="2" t="s">
        <v>51</v>
      </c>
      <c r="N2" s="3" t="s">
        <v>52</v>
      </c>
      <c r="O2" s="15">
        <v>46113</v>
      </c>
      <c r="P2" s="3" t="s">
        <v>53</v>
      </c>
      <c r="Q2" s="3" t="s">
        <v>54</v>
      </c>
      <c r="R2" s="3" t="s">
        <v>55</v>
      </c>
      <c r="S2" s="15">
        <v>47484</v>
      </c>
      <c r="T2" s="15">
        <v>43831</v>
      </c>
      <c r="U2" s="2" t="s">
        <v>56</v>
      </c>
      <c r="V2" s="15"/>
      <c r="W2" s="2"/>
      <c r="X2" s="2"/>
      <c r="Y2" s="2" t="s">
        <v>57</v>
      </c>
      <c r="Z2" s="2" t="s">
        <v>46</v>
      </c>
      <c r="AA2" s="15">
        <v>45945</v>
      </c>
      <c r="AB2" s="2" t="s">
        <v>58</v>
      </c>
      <c r="AC2" s="2"/>
      <c r="AD2" s="2">
        <v>75</v>
      </c>
      <c r="AE2" s="2"/>
      <c r="AF2" s="2"/>
      <c r="AG2" s="2"/>
      <c r="AH2" s="2" t="s">
        <v>55</v>
      </c>
      <c r="AI2" s="2" t="s">
        <v>59</v>
      </c>
      <c r="AJ2" s="2" t="s">
        <v>59</v>
      </c>
      <c r="AK2" s="2" t="s">
        <v>59</v>
      </c>
      <c r="AL2" s="2" t="s">
        <v>59</v>
      </c>
      <c r="AM2" s="2" t="s">
        <v>59</v>
      </c>
      <c r="AN2" s="2" t="s">
        <v>59</v>
      </c>
      <c r="AO2" s="2" t="s">
        <v>59</v>
      </c>
    </row>
    <row r="3" spans="1:41" ht="22.5" customHeight="1">
      <c r="A3" s="4">
        <v>2</v>
      </c>
      <c r="B3" s="4" t="s">
        <v>60</v>
      </c>
      <c r="C3" s="5" t="s">
        <v>61</v>
      </c>
      <c r="D3" s="5" t="s">
        <v>62</v>
      </c>
      <c r="E3" s="4" t="s">
        <v>63</v>
      </c>
      <c r="F3" s="5" t="s">
        <v>64</v>
      </c>
      <c r="G3" s="7">
        <v>39116</v>
      </c>
      <c r="H3" s="4" t="s">
        <v>65</v>
      </c>
      <c r="I3" s="4" t="s">
        <v>66</v>
      </c>
      <c r="J3" s="4" t="s">
        <v>48</v>
      </c>
      <c r="K3" s="4" t="s">
        <v>49</v>
      </c>
      <c r="L3" s="4" t="s">
        <v>67</v>
      </c>
      <c r="M3" s="4" t="s">
        <v>68</v>
      </c>
      <c r="N3" s="5" t="s">
        <v>69</v>
      </c>
      <c r="O3" s="14">
        <v>46096</v>
      </c>
      <c r="P3" s="5" t="s">
        <v>70</v>
      </c>
      <c r="Q3" s="5" t="s">
        <v>71</v>
      </c>
      <c r="R3" s="5" t="s">
        <v>72</v>
      </c>
      <c r="S3" s="14">
        <v>46874</v>
      </c>
      <c r="T3" s="14">
        <v>43221</v>
      </c>
      <c r="U3" s="4" t="s">
        <v>73</v>
      </c>
      <c r="V3" s="14">
        <v>46265</v>
      </c>
      <c r="W3" s="4">
        <v>11409</v>
      </c>
      <c r="X3" s="4">
        <v>929</v>
      </c>
      <c r="Y3" s="4" t="s">
        <v>74</v>
      </c>
      <c r="Z3" s="4" t="s">
        <v>46</v>
      </c>
      <c r="AA3" s="14">
        <v>45963</v>
      </c>
      <c r="AB3" s="4" t="s">
        <v>75</v>
      </c>
      <c r="AC3" s="4"/>
      <c r="AD3" s="4">
        <v>75</v>
      </c>
      <c r="AE3" s="4" t="s">
        <v>76</v>
      </c>
      <c r="AF3" s="4">
        <v>3</v>
      </c>
      <c r="AG3" s="4" t="s">
        <v>77</v>
      </c>
      <c r="AH3" s="4" t="s">
        <v>55</v>
      </c>
      <c r="AI3" s="4" t="s">
        <v>55</v>
      </c>
      <c r="AJ3" s="18" t="s">
        <v>72</v>
      </c>
      <c r="AK3" s="4" t="s">
        <v>55</v>
      </c>
      <c r="AL3" s="4" t="s">
        <v>59</v>
      </c>
      <c r="AM3" s="4" t="s">
        <v>55</v>
      </c>
      <c r="AN3" s="18" t="s">
        <v>72</v>
      </c>
      <c r="AO3" s="4" t="s">
        <v>55</v>
      </c>
    </row>
    <row r="4" spans="1:41" ht="22.5" customHeight="1">
      <c r="A4" s="2">
        <v>3</v>
      </c>
      <c r="B4" s="2" t="s">
        <v>78</v>
      </c>
      <c r="C4" s="3" t="s">
        <v>79</v>
      </c>
      <c r="D4" s="3" t="s">
        <v>80</v>
      </c>
      <c r="E4" s="2" t="s">
        <v>81</v>
      </c>
      <c r="F4" s="3" t="s">
        <v>82</v>
      </c>
      <c r="G4" s="6">
        <v>36036</v>
      </c>
      <c r="H4" s="2" t="s">
        <v>83</v>
      </c>
      <c r="I4" s="2" t="s">
        <v>46</v>
      </c>
      <c r="J4" s="2" t="s">
        <v>84</v>
      </c>
      <c r="K4" s="2" t="s">
        <v>49</v>
      </c>
      <c r="L4" s="2" t="s">
        <v>67</v>
      </c>
      <c r="M4" s="2" t="s">
        <v>68</v>
      </c>
      <c r="N4" s="3" t="s">
        <v>85</v>
      </c>
      <c r="O4" s="15">
        <v>46113</v>
      </c>
      <c r="P4" s="3" t="s">
        <v>86</v>
      </c>
      <c r="Q4" s="3" t="s">
        <v>87</v>
      </c>
      <c r="R4" s="3" t="s">
        <v>72</v>
      </c>
      <c r="S4" s="15">
        <v>47392</v>
      </c>
      <c r="T4" s="15">
        <v>43374</v>
      </c>
      <c r="U4" s="2" t="s">
        <v>88</v>
      </c>
      <c r="V4" s="15">
        <v>45900</v>
      </c>
      <c r="W4" s="2"/>
      <c r="X4" s="2"/>
      <c r="Y4" s="2" t="s">
        <v>89</v>
      </c>
      <c r="Z4" s="2"/>
      <c r="AA4" s="15"/>
      <c r="AB4" s="2"/>
      <c r="AC4" s="2"/>
      <c r="AD4" s="2">
        <v>75</v>
      </c>
      <c r="AE4" s="2"/>
      <c r="AF4" s="2"/>
      <c r="AG4" s="2"/>
      <c r="AH4" s="2" t="s">
        <v>55</v>
      </c>
      <c r="AI4" s="2" t="s">
        <v>59</v>
      </c>
      <c r="AJ4" s="2" t="s">
        <v>59</v>
      </c>
      <c r="AK4" s="2" t="s">
        <v>59</v>
      </c>
      <c r="AL4" s="2" t="s">
        <v>59</v>
      </c>
      <c r="AM4" s="2" t="s">
        <v>59</v>
      </c>
      <c r="AN4" s="2" t="s">
        <v>59</v>
      </c>
      <c r="AO4" s="2" t="s">
        <v>59</v>
      </c>
    </row>
    <row r="5" spans="1:41" ht="22.5" customHeight="1">
      <c r="A5" s="4">
        <v>4</v>
      </c>
      <c r="B5" s="4" t="s">
        <v>90</v>
      </c>
      <c r="C5" s="5" t="s">
        <v>91</v>
      </c>
      <c r="D5" s="5" t="s">
        <v>92</v>
      </c>
      <c r="E5" s="4" t="s">
        <v>93</v>
      </c>
      <c r="F5" s="5" t="s">
        <v>94</v>
      </c>
      <c r="G5" s="7">
        <v>35045</v>
      </c>
      <c r="H5" s="4" t="s">
        <v>95</v>
      </c>
      <c r="I5" s="4" t="s">
        <v>96</v>
      </c>
      <c r="J5" s="4" t="s">
        <v>97</v>
      </c>
      <c r="K5" s="4" t="s">
        <v>49</v>
      </c>
      <c r="L5" s="4" t="s">
        <v>98</v>
      </c>
      <c r="M5" s="4" t="s">
        <v>68</v>
      </c>
      <c r="N5" s="5" t="s">
        <v>99</v>
      </c>
      <c r="O5" s="14">
        <v>46101</v>
      </c>
      <c r="P5" s="5" t="s">
        <v>100</v>
      </c>
      <c r="Q5" s="5" t="s">
        <v>101</v>
      </c>
      <c r="R5" s="5" t="s">
        <v>72</v>
      </c>
      <c r="S5" s="14">
        <v>45323</v>
      </c>
      <c r="T5" s="14">
        <v>41671</v>
      </c>
      <c r="U5" s="4">
        <v>552194038</v>
      </c>
      <c r="V5" s="14">
        <v>46265</v>
      </c>
      <c r="W5" s="4">
        <v>11904</v>
      </c>
      <c r="X5" s="4">
        <f>W5/12</f>
        <v>992</v>
      </c>
      <c r="Y5" s="4" t="s">
        <v>102</v>
      </c>
      <c r="Z5" s="4" t="s">
        <v>83</v>
      </c>
      <c r="AA5" s="14">
        <v>46002</v>
      </c>
      <c r="AB5" s="4" t="s">
        <v>75</v>
      </c>
      <c r="AC5" s="4"/>
      <c r="AD5" s="4"/>
      <c r="AE5" s="4"/>
      <c r="AF5" s="4">
        <v>2</v>
      </c>
      <c r="AG5" s="4"/>
      <c r="AH5" s="18" t="s">
        <v>72</v>
      </c>
      <c r="AI5" s="4" t="s">
        <v>59</v>
      </c>
      <c r="AJ5" s="4" t="s">
        <v>59</v>
      </c>
      <c r="AK5" s="4" t="s">
        <v>59</v>
      </c>
      <c r="AL5" s="4" t="s">
        <v>59</v>
      </c>
      <c r="AM5" s="4" t="s">
        <v>59</v>
      </c>
      <c r="AN5" s="4" t="s">
        <v>59</v>
      </c>
      <c r="AO5" s="4" t="s">
        <v>59</v>
      </c>
    </row>
    <row r="6" spans="1:41" ht="22.5" customHeight="1">
      <c r="A6" s="2">
        <v>5</v>
      </c>
      <c r="B6" s="2" t="s">
        <v>103</v>
      </c>
      <c r="C6" s="3" t="s">
        <v>104</v>
      </c>
      <c r="D6" s="3" t="s">
        <v>105</v>
      </c>
      <c r="E6" s="2" t="s">
        <v>106</v>
      </c>
      <c r="F6" s="3" t="s">
        <v>107</v>
      </c>
      <c r="G6" s="6">
        <v>36988</v>
      </c>
      <c r="H6" s="2" t="s">
        <v>46</v>
      </c>
      <c r="I6" s="2" t="s">
        <v>46</v>
      </c>
      <c r="J6" s="2" t="s">
        <v>84</v>
      </c>
      <c r="K6" s="2" t="s">
        <v>49</v>
      </c>
      <c r="L6" s="2" t="s">
        <v>50</v>
      </c>
      <c r="M6" s="2" t="s">
        <v>51</v>
      </c>
      <c r="N6" s="3" t="s">
        <v>108</v>
      </c>
      <c r="O6" s="15">
        <v>46113</v>
      </c>
      <c r="P6" s="3" t="s">
        <v>109</v>
      </c>
      <c r="Q6" s="3" t="s">
        <v>110</v>
      </c>
      <c r="R6" s="3" t="s">
        <v>55</v>
      </c>
      <c r="S6" s="15">
        <v>46844</v>
      </c>
      <c r="T6" s="15">
        <v>43191</v>
      </c>
      <c r="U6" s="2" t="s">
        <v>111</v>
      </c>
      <c r="V6" s="15"/>
      <c r="W6" s="2"/>
      <c r="X6" s="2"/>
      <c r="Y6" s="2" t="s">
        <v>112</v>
      </c>
      <c r="Z6" s="2"/>
      <c r="AA6" s="15"/>
      <c r="AB6" s="2"/>
      <c r="AC6" s="2"/>
      <c r="AD6" s="2"/>
      <c r="AE6" s="2"/>
      <c r="AF6" s="2"/>
      <c r="AG6" s="2"/>
      <c r="AH6" s="2" t="s">
        <v>55</v>
      </c>
      <c r="AI6" s="2" t="s">
        <v>59</v>
      </c>
      <c r="AJ6" s="2" t="s">
        <v>59</v>
      </c>
      <c r="AK6" s="2" t="s">
        <v>59</v>
      </c>
      <c r="AL6" s="2" t="s">
        <v>59</v>
      </c>
      <c r="AM6" s="2" t="s">
        <v>59</v>
      </c>
      <c r="AN6" s="2" t="s">
        <v>59</v>
      </c>
      <c r="AO6" s="2" t="s">
        <v>59</v>
      </c>
    </row>
    <row r="7" spans="1:41" ht="22.5" customHeight="1">
      <c r="A7" s="4">
        <v>6</v>
      </c>
      <c r="B7" s="4" t="s">
        <v>113</v>
      </c>
      <c r="C7" s="5" t="s">
        <v>114</v>
      </c>
      <c r="D7" s="5" t="s">
        <v>115</v>
      </c>
      <c r="E7" s="4" t="s">
        <v>116</v>
      </c>
      <c r="F7" s="5" t="s">
        <v>117</v>
      </c>
      <c r="G7" s="7">
        <v>39407</v>
      </c>
      <c r="H7" s="4" t="s">
        <v>65</v>
      </c>
      <c r="I7" s="4" t="s">
        <v>66</v>
      </c>
      <c r="J7" s="4" t="s">
        <v>48</v>
      </c>
      <c r="K7" s="4" t="s">
        <v>49</v>
      </c>
      <c r="L7" s="4" t="s">
        <v>50</v>
      </c>
      <c r="M7" s="4" t="s">
        <v>68</v>
      </c>
      <c r="N7" s="5" t="s">
        <v>118</v>
      </c>
      <c r="O7" s="14">
        <v>46109</v>
      </c>
      <c r="P7" s="5" t="s">
        <v>70</v>
      </c>
      <c r="Q7" s="5" t="s">
        <v>119</v>
      </c>
      <c r="R7" s="5" t="s">
        <v>72</v>
      </c>
      <c r="S7" s="14">
        <v>47788</v>
      </c>
      <c r="T7" s="14">
        <v>44136</v>
      </c>
      <c r="U7" s="4" t="s">
        <v>120</v>
      </c>
      <c r="V7" s="14">
        <v>46265</v>
      </c>
      <c r="W7" s="4">
        <v>12000</v>
      </c>
      <c r="X7" s="4">
        <f>W7/12</f>
        <v>1000</v>
      </c>
      <c r="Y7" s="4" t="s">
        <v>121</v>
      </c>
      <c r="Z7" s="4" t="s">
        <v>46</v>
      </c>
      <c r="AA7" s="14">
        <v>46019</v>
      </c>
      <c r="AB7" s="4" t="s">
        <v>122</v>
      </c>
      <c r="AC7" s="4"/>
      <c r="AD7" s="4" t="s">
        <v>123</v>
      </c>
      <c r="AE7" s="4" t="s">
        <v>124</v>
      </c>
      <c r="AF7" s="4">
        <v>3</v>
      </c>
      <c r="AG7" s="4" t="s">
        <v>125</v>
      </c>
      <c r="AH7" s="4" t="s">
        <v>55</v>
      </c>
      <c r="AI7" s="4" t="s">
        <v>55</v>
      </c>
      <c r="AJ7" s="4" t="s">
        <v>55</v>
      </c>
      <c r="AK7" s="18" t="s">
        <v>72</v>
      </c>
      <c r="AL7" s="4" t="s">
        <v>59</v>
      </c>
      <c r="AM7" s="18" t="s">
        <v>72</v>
      </c>
      <c r="AN7" s="4" t="s">
        <v>55</v>
      </c>
      <c r="AO7" s="18" t="s">
        <v>72</v>
      </c>
    </row>
    <row r="8" spans="1:41" ht="22.5" customHeight="1">
      <c r="A8" s="2">
        <v>7</v>
      </c>
      <c r="B8" s="2" t="s">
        <v>126</v>
      </c>
      <c r="C8" s="3" t="s">
        <v>127</v>
      </c>
      <c r="D8" s="3" t="s">
        <v>128</v>
      </c>
      <c r="E8" s="2" t="s">
        <v>129</v>
      </c>
      <c r="F8" s="3" t="s">
        <v>130</v>
      </c>
      <c r="G8" s="6">
        <v>35800</v>
      </c>
      <c r="H8" s="2" t="s">
        <v>83</v>
      </c>
      <c r="I8" s="2" t="s">
        <v>46</v>
      </c>
      <c r="J8" s="2" t="s">
        <v>84</v>
      </c>
      <c r="K8" s="2" t="s">
        <v>49</v>
      </c>
      <c r="L8" s="2" t="s">
        <v>98</v>
      </c>
      <c r="M8" s="2" t="s">
        <v>68</v>
      </c>
      <c r="N8" s="3" t="s">
        <v>131</v>
      </c>
      <c r="O8" s="15">
        <v>46117</v>
      </c>
      <c r="P8" s="3" t="s">
        <v>132</v>
      </c>
      <c r="Q8" s="3" t="s">
        <v>133</v>
      </c>
      <c r="R8" s="3" t="s">
        <v>72</v>
      </c>
      <c r="S8" s="15">
        <v>46023</v>
      </c>
      <c r="T8" s="15">
        <v>42370</v>
      </c>
      <c r="U8" s="2" t="s">
        <v>134</v>
      </c>
      <c r="V8" s="15"/>
      <c r="W8" s="2"/>
      <c r="X8" s="2"/>
      <c r="Y8" s="2" t="s">
        <v>135</v>
      </c>
      <c r="Z8" s="2"/>
      <c r="AA8" s="15"/>
      <c r="AB8" s="2"/>
      <c r="AC8" s="2"/>
      <c r="AD8" s="2"/>
      <c r="AE8" s="2"/>
      <c r="AF8" s="2"/>
      <c r="AG8" s="2"/>
      <c r="AH8" s="19" t="s">
        <v>72</v>
      </c>
      <c r="AI8" s="2" t="s">
        <v>59</v>
      </c>
      <c r="AJ8" s="2" t="s">
        <v>59</v>
      </c>
      <c r="AK8" s="2" t="s">
        <v>59</v>
      </c>
      <c r="AL8" s="2" t="s">
        <v>59</v>
      </c>
      <c r="AM8" s="2" t="s">
        <v>59</v>
      </c>
      <c r="AN8" s="2" t="s">
        <v>59</v>
      </c>
      <c r="AO8" s="2" t="s">
        <v>59</v>
      </c>
    </row>
    <row r="9" spans="1:41" ht="22.5" customHeight="1">
      <c r="A9" s="4">
        <v>8</v>
      </c>
      <c r="B9" s="4" t="s">
        <v>136</v>
      </c>
      <c r="C9" s="5" t="s">
        <v>137</v>
      </c>
      <c r="D9" s="5" t="s">
        <v>138</v>
      </c>
      <c r="E9" s="4" t="s">
        <v>139</v>
      </c>
      <c r="F9" s="5" t="s">
        <v>140</v>
      </c>
      <c r="G9" s="7">
        <v>38186</v>
      </c>
      <c r="H9" s="4" t="s">
        <v>65</v>
      </c>
      <c r="I9" s="4" t="s">
        <v>96</v>
      </c>
      <c r="J9" s="4" t="s">
        <v>84</v>
      </c>
      <c r="K9" s="4" t="s">
        <v>49</v>
      </c>
      <c r="L9" s="4" t="s">
        <v>67</v>
      </c>
      <c r="M9" s="4" t="s">
        <v>68</v>
      </c>
      <c r="N9" s="5" t="s">
        <v>141</v>
      </c>
      <c r="O9" s="14">
        <v>46113</v>
      </c>
      <c r="P9" s="5" t="s">
        <v>142</v>
      </c>
      <c r="Q9" s="5" t="s">
        <v>143</v>
      </c>
      <c r="R9" s="5" t="s">
        <v>72</v>
      </c>
      <c r="S9" s="14">
        <v>47880</v>
      </c>
      <c r="T9" s="14">
        <v>44228</v>
      </c>
      <c r="U9" s="4">
        <v>483029481</v>
      </c>
      <c r="V9" s="14">
        <v>45535</v>
      </c>
      <c r="W9" s="4"/>
      <c r="X9" s="4"/>
      <c r="Y9" s="4" t="s">
        <v>144</v>
      </c>
      <c r="Z9" s="4" t="s">
        <v>47</v>
      </c>
      <c r="AA9" s="14">
        <v>46086</v>
      </c>
      <c r="AB9" s="4" t="s">
        <v>145</v>
      </c>
      <c r="AC9" s="4"/>
      <c r="AD9" s="4"/>
      <c r="AE9" s="4"/>
      <c r="AF9" s="4"/>
      <c r="AG9" s="4"/>
      <c r="AH9" s="4" t="s">
        <v>55</v>
      </c>
      <c r="AI9" s="4" t="s">
        <v>59</v>
      </c>
      <c r="AJ9" s="4" t="s">
        <v>59</v>
      </c>
      <c r="AK9" s="4" t="s">
        <v>59</v>
      </c>
      <c r="AL9" s="4" t="s">
        <v>59</v>
      </c>
      <c r="AM9" s="4" t="s">
        <v>59</v>
      </c>
      <c r="AN9" s="4" t="s">
        <v>59</v>
      </c>
      <c r="AO9" s="4" t="s">
        <v>59</v>
      </c>
    </row>
    <row r="10" spans="1:41" ht="22.5" customHeight="1">
      <c r="A10" s="2">
        <v>9</v>
      </c>
      <c r="B10" s="2" t="s">
        <v>146</v>
      </c>
      <c r="C10" s="3" t="s">
        <v>147</v>
      </c>
      <c r="D10" s="3" t="s">
        <v>148</v>
      </c>
      <c r="E10" s="2" t="s">
        <v>149</v>
      </c>
      <c r="F10" s="3" t="s">
        <v>150</v>
      </c>
      <c r="G10" s="6">
        <v>37072</v>
      </c>
      <c r="H10" s="2" t="s">
        <v>83</v>
      </c>
      <c r="I10" s="2" t="s">
        <v>66</v>
      </c>
      <c r="J10" s="2" t="s">
        <v>48</v>
      </c>
      <c r="K10" s="2" t="s">
        <v>49</v>
      </c>
      <c r="L10" s="2" t="s">
        <v>98</v>
      </c>
      <c r="M10" s="2" t="s">
        <v>68</v>
      </c>
      <c r="N10" s="3" t="s">
        <v>151</v>
      </c>
      <c r="O10" s="15">
        <v>46114</v>
      </c>
      <c r="P10" s="3" t="s">
        <v>152</v>
      </c>
      <c r="Q10" s="3" t="s">
        <v>153</v>
      </c>
      <c r="R10" s="3" t="s">
        <v>72</v>
      </c>
      <c r="S10" s="15">
        <v>48335</v>
      </c>
      <c r="T10" s="15">
        <v>44682</v>
      </c>
      <c r="U10" s="2" t="s">
        <v>154</v>
      </c>
      <c r="V10" s="15">
        <v>46265</v>
      </c>
      <c r="W10" s="2">
        <v>11904</v>
      </c>
      <c r="X10" s="2">
        <f>W10/12</f>
        <v>992</v>
      </c>
      <c r="Y10" s="2" t="s">
        <v>155</v>
      </c>
      <c r="Z10" s="2" t="s">
        <v>65</v>
      </c>
      <c r="AA10" s="15">
        <v>45883</v>
      </c>
      <c r="AB10" s="2" t="s">
        <v>58</v>
      </c>
      <c r="AC10" s="2" t="s">
        <v>156</v>
      </c>
      <c r="AD10" s="2">
        <v>75</v>
      </c>
      <c r="AE10" s="2" t="s">
        <v>156</v>
      </c>
      <c r="AF10" s="2">
        <v>3</v>
      </c>
      <c r="AG10" s="2" t="s">
        <v>157</v>
      </c>
      <c r="AH10" s="2" t="s">
        <v>55</v>
      </c>
      <c r="AI10" s="2" t="s">
        <v>55</v>
      </c>
      <c r="AJ10" s="2" t="s">
        <v>55</v>
      </c>
      <c r="AK10" s="19" t="s">
        <v>72</v>
      </c>
      <c r="AL10" s="2" t="s">
        <v>55</v>
      </c>
      <c r="AM10" s="2" t="s">
        <v>55</v>
      </c>
      <c r="AN10" s="2" t="s">
        <v>55</v>
      </c>
      <c r="AO10" s="19" t="s">
        <v>72</v>
      </c>
    </row>
    <row r="11" spans="1:41" ht="22.5" customHeight="1">
      <c r="A11" s="4">
        <v>10</v>
      </c>
      <c r="B11" s="4" t="s">
        <v>158</v>
      </c>
      <c r="C11" s="5" t="s">
        <v>159</v>
      </c>
      <c r="D11" s="5" t="s">
        <v>160</v>
      </c>
      <c r="E11" s="4" t="s">
        <v>161</v>
      </c>
      <c r="F11" s="5" t="s">
        <v>162</v>
      </c>
      <c r="G11" s="7">
        <v>36596</v>
      </c>
      <c r="H11" s="4" t="s">
        <v>47</v>
      </c>
      <c r="I11" s="4" t="s">
        <v>46</v>
      </c>
      <c r="J11" s="4" t="s">
        <v>48</v>
      </c>
      <c r="K11" s="4" t="s">
        <v>49</v>
      </c>
      <c r="L11" s="4" t="s">
        <v>50</v>
      </c>
      <c r="M11" s="4" t="s">
        <v>68</v>
      </c>
      <c r="N11" s="5" t="s">
        <v>163</v>
      </c>
      <c r="O11" s="14">
        <v>46113</v>
      </c>
      <c r="P11" s="5" t="s">
        <v>164</v>
      </c>
      <c r="Q11" s="5" t="s">
        <v>165</v>
      </c>
      <c r="R11" s="5" t="s">
        <v>72</v>
      </c>
      <c r="S11" s="14">
        <v>47574</v>
      </c>
      <c r="T11" s="14">
        <v>43922</v>
      </c>
      <c r="U11" s="4" t="s">
        <v>166</v>
      </c>
      <c r="V11" s="14">
        <v>45900</v>
      </c>
      <c r="W11" s="4">
        <v>11904</v>
      </c>
      <c r="X11" s="4">
        <v>400</v>
      </c>
      <c r="Y11" s="4" t="s">
        <v>167</v>
      </c>
      <c r="Z11" s="4" t="s">
        <v>46</v>
      </c>
      <c r="AA11" s="14">
        <v>45869</v>
      </c>
      <c r="AB11" s="4" t="s">
        <v>145</v>
      </c>
      <c r="AC11" s="4"/>
      <c r="AD11" s="4">
        <v>75</v>
      </c>
      <c r="AE11" s="4" t="s">
        <v>168</v>
      </c>
      <c r="AF11" s="4">
        <v>3</v>
      </c>
      <c r="AG11" s="4" t="s">
        <v>77</v>
      </c>
      <c r="AH11" s="4" t="s">
        <v>55</v>
      </c>
      <c r="AI11" s="18" t="s">
        <v>72</v>
      </c>
      <c r="AJ11" s="18" t="s">
        <v>72</v>
      </c>
      <c r="AK11" s="4" t="s">
        <v>55</v>
      </c>
      <c r="AL11" s="18" t="s">
        <v>72</v>
      </c>
      <c r="AM11" s="4" t="s">
        <v>55</v>
      </c>
      <c r="AN11" s="4" t="s">
        <v>55</v>
      </c>
      <c r="AO11" s="4" t="s">
        <v>55</v>
      </c>
    </row>
  </sheetData>
  <pageMargins left="0.75" right="0.75" top="1" bottom="1" header="0.5" footer="0.5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D7ECE-A3AE-4D18-B063-F764DA078731}">
  <dimension ref="A1:C23"/>
  <sheetViews>
    <sheetView zoomScale="115" zoomScaleNormal="115" workbookViewId="0">
      <selection activeCell="C2" sqref="C2"/>
    </sheetView>
  </sheetViews>
  <sheetFormatPr defaultColWidth="11.42578125" defaultRowHeight="15"/>
  <cols>
    <col min="1" max="1" width="29.7109375" bestFit="1" customWidth="1"/>
    <col min="2" max="2" width="40.7109375" bestFit="1" customWidth="1"/>
    <col min="3" max="3" width="65.140625" bestFit="1" customWidth="1"/>
  </cols>
  <sheetData>
    <row r="1" spans="1:3">
      <c r="A1" t="s">
        <v>169</v>
      </c>
      <c r="B1" t="s">
        <v>170</v>
      </c>
      <c r="C1" t="s">
        <v>171</v>
      </c>
    </row>
    <row r="2" spans="1:3">
      <c r="A2" t="s">
        <v>172</v>
      </c>
      <c r="B2" t="s">
        <v>173</v>
      </c>
      <c r="C2" t="s">
        <v>174</v>
      </c>
    </row>
    <row r="3" spans="1:3">
      <c r="A3" t="s">
        <v>172</v>
      </c>
      <c r="B3" t="s">
        <v>175</v>
      </c>
      <c r="C3" t="s">
        <v>176</v>
      </c>
    </row>
    <row r="4" spans="1:3">
      <c r="A4" t="s">
        <v>172</v>
      </c>
      <c r="B4" t="s">
        <v>177</v>
      </c>
      <c r="C4" t="s">
        <v>178</v>
      </c>
    </row>
    <row r="5" spans="1:3">
      <c r="A5" t="s">
        <v>172</v>
      </c>
      <c r="B5" t="s">
        <v>179</v>
      </c>
      <c r="C5" t="s">
        <v>180</v>
      </c>
    </row>
    <row r="6" spans="1:3">
      <c r="A6" t="s">
        <v>172</v>
      </c>
      <c r="B6" t="s">
        <v>181</v>
      </c>
      <c r="C6" t="s">
        <v>182</v>
      </c>
    </row>
    <row r="7" spans="1:3">
      <c r="A7" t="s">
        <v>172</v>
      </c>
      <c r="B7" t="s">
        <v>183</v>
      </c>
      <c r="C7" t="s">
        <v>184</v>
      </c>
    </row>
    <row r="8" spans="1:3">
      <c r="A8" t="s">
        <v>185</v>
      </c>
      <c r="B8" t="s">
        <v>186</v>
      </c>
      <c r="C8" t="s">
        <v>187</v>
      </c>
    </row>
    <row r="9" spans="1:3">
      <c r="A9" t="s">
        <v>185</v>
      </c>
      <c r="B9" t="s">
        <v>188</v>
      </c>
      <c r="C9" t="s">
        <v>189</v>
      </c>
    </row>
    <row r="10" spans="1:3">
      <c r="A10" t="s">
        <v>185</v>
      </c>
      <c r="B10" t="s">
        <v>190</v>
      </c>
      <c r="C10" t="s">
        <v>191</v>
      </c>
    </row>
    <row r="11" spans="1:3">
      <c r="A11" t="s">
        <v>185</v>
      </c>
      <c r="B11" t="s">
        <v>192</v>
      </c>
      <c r="C11" t="s">
        <v>193</v>
      </c>
    </row>
    <row r="12" spans="1:3">
      <c r="A12" t="s">
        <v>185</v>
      </c>
      <c r="B12" t="s">
        <v>194</v>
      </c>
      <c r="C12" t="s">
        <v>195</v>
      </c>
    </row>
    <row r="13" spans="1:3">
      <c r="A13" t="s">
        <v>185</v>
      </c>
      <c r="B13" t="s">
        <v>196</v>
      </c>
      <c r="C13" t="s">
        <v>197</v>
      </c>
    </row>
    <row r="14" spans="1:3">
      <c r="A14" t="s">
        <v>198</v>
      </c>
      <c r="B14" t="s">
        <v>199</v>
      </c>
      <c r="C14" t="s">
        <v>200</v>
      </c>
    </row>
    <row r="15" spans="1:3">
      <c r="A15" t="s">
        <v>198</v>
      </c>
      <c r="B15" t="s">
        <v>201</v>
      </c>
      <c r="C15" t="s">
        <v>202</v>
      </c>
    </row>
    <row r="16" spans="1:3">
      <c r="A16" t="s">
        <v>198</v>
      </c>
      <c r="B16" t="s">
        <v>201</v>
      </c>
      <c r="C16" s="9" t="s">
        <v>203</v>
      </c>
    </row>
    <row r="17" spans="1:3">
      <c r="A17" t="s">
        <v>198</v>
      </c>
      <c r="B17" t="s">
        <v>204</v>
      </c>
      <c r="C17" t="s">
        <v>205</v>
      </c>
    </row>
    <row r="18" spans="1:3">
      <c r="A18" t="s">
        <v>198</v>
      </c>
      <c r="B18" t="s">
        <v>204</v>
      </c>
      <c r="C18" t="s">
        <v>206</v>
      </c>
    </row>
    <row r="19" spans="1:3">
      <c r="A19" t="s">
        <v>198</v>
      </c>
      <c r="B19" t="s">
        <v>207</v>
      </c>
      <c r="C19" t="s">
        <v>208</v>
      </c>
    </row>
    <row r="20" spans="1:3">
      <c r="A20" t="s">
        <v>209</v>
      </c>
      <c r="B20" t="s">
        <v>210</v>
      </c>
      <c r="C20" t="s">
        <v>211</v>
      </c>
    </row>
    <row r="21" spans="1:3">
      <c r="A21" t="s">
        <v>209</v>
      </c>
      <c r="B21" t="s">
        <v>212</v>
      </c>
      <c r="C21" t="s">
        <v>213</v>
      </c>
    </row>
    <row r="22" spans="1:3">
      <c r="A22" t="s">
        <v>209</v>
      </c>
      <c r="B22" t="s">
        <v>212</v>
      </c>
      <c r="C22" t="s">
        <v>214</v>
      </c>
    </row>
    <row r="23" spans="1:3">
      <c r="A23" t="s">
        <v>209</v>
      </c>
      <c r="B23" t="s">
        <v>215</v>
      </c>
      <c r="C23" t="s">
        <v>216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CAEA7-0FC4-4F40-A4D6-51EF0C8DD4A2}">
  <dimension ref="A1:I31"/>
  <sheetViews>
    <sheetView workbookViewId="0">
      <selection activeCell="B25" sqref="B25"/>
    </sheetView>
  </sheetViews>
  <sheetFormatPr defaultColWidth="11.42578125" defaultRowHeight="15"/>
  <cols>
    <col min="1" max="1" width="13.85546875" customWidth="1"/>
    <col min="2" max="2" width="42.7109375" customWidth="1"/>
    <col min="3" max="3" width="35.5703125" bestFit="1" customWidth="1"/>
    <col min="4" max="4" width="27.42578125" bestFit="1" customWidth="1"/>
    <col min="5" max="5" width="14.42578125" customWidth="1"/>
    <col min="6" max="6" width="32.5703125" customWidth="1"/>
    <col min="7" max="7" width="19.140625" customWidth="1"/>
    <col min="8" max="8" width="25.7109375" customWidth="1"/>
    <col min="9" max="9" width="17.42578125" bestFit="1" customWidth="1"/>
  </cols>
  <sheetData>
    <row r="1" spans="1:9">
      <c r="A1" t="s">
        <v>217</v>
      </c>
      <c r="B1" t="s">
        <v>218</v>
      </c>
      <c r="C1" t="s">
        <v>219</v>
      </c>
      <c r="D1" t="s">
        <v>15</v>
      </c>
      <c r="E1" t="s">
        <v>220</v>
      </c>
      <c r="F1" s="13" t="s">
        <v>221</v>
      </c>
      <c r="G1" s="13" t="s">
        <v>222</v>
      </c>
      <c r="H1" s="13" t="s">
        <v>223</v>
      </c>
      <c r="I1" s="13" t="s">
        <v>224</v>
      </c>
    </row>
    <row r="2" spans="1:9">
      <c r="A2">
        <v>1</v>
      </c>
      <c r="B2" t="s">
        <v>225</v>
      </c>
      <c r="C2" t="s">
        <v>226</v>
      </c>
      <c r="D2" t="s">
        <v>70</v>
      </c>
      <c r="E2" t="s">
        <v>227</v>
      </c>
      <c r="F2" s="11" t="s">
        <v>228</v>
      </c>
      <c r="G2" s="11" t="s">
        <v>229</v>
      </c>
      <c r="H2" s="11" t="s">
        <v>230</v>
      </c>
      <c r="I2" s="11" t="s">
        <v>231</v>
      </c>
    </row>
    <row r="3" spans="1:9">
      <c r="A3">
        <v>2</v>
      </c>
      <c r="B3" t="s">
        <v>232</v>
      </c>
      <c r="C3" t="s">
        <v>233</v>
      </c>
      <c r="D3" t="s">
        <v>234</v>
      </c>
      <c r="E3" t="s">
        <v>66</v>
      </c>
      <c r="F3" s="11" t="s">
        <v>229</v>
      </c>
      <c r="G3" s="11" t="s">
        <v>229</v>
      </c>
      <c r="H3" s="11" t="s">
        <v>235</v>
      </c>
      <c r="I3" s="11" t="s">
        <v>236</v>
      </c>
    </row>
    <row r="4" spans="1:9">
      <c r="A4">
        <v>3</v>
      </c>
      <c r="B4" t="s">
        <v>237</v>
      </c>
      <c r="C4" t="s">
        <v>238</v>
      </c>
      <c r="D4" t="s">
        <v>239</v>
      </c>
      <c r="E4" t="s">
        <v>227</v>
      </c>
      <c r="F4" s="11" t="s">
        <v>228</v>
      </c>
      <c r="G4" s="11" t="s">
        <v>228</v>
      </c>
      <c r="H4" s="11" t="s">
        <v>235</v>
      </c>
      <c r="I4" s="11" t="s">
        <v>240</v>
      </c>
    </row>
    <row r="5" spans="1:9">
      <c r="A5">
        <v>4</v>
      </c>
      <c r="B5" t="s">
        <v>241</v>
      </c>
      <c r="C5" t="s">
        <v>242</v>
      </c>
      <c r="D5" t="s">
        <v>243</v>
      </c>
      <c r="E5" t="s">
        <v>66</v>
      </c>
      <c r="F5" s="11" t="s">
        <v>229</v>
      </c>
      <c r="G5" s="11" t="s">
        <v>229</v>
      </c>
      <c r="H5" s="11" t="s">
        <v>244</v>
      </c>
      <c r="I5" s="11" t="s">
        <v>245</v>
      </c>
    </row>
    <row r="6" spans="1:9">
      <c r="A6">
        <v>5</v>
      </c>
      <c r="B6" t="s">
        <v>246</v>
      </c>
      <c r="C6" t="s">
        <v>247</v>
      </c>
      <c r="D6" t="s">
        <v>248</v>
      </c>
      <c r="E6" t="s">
        <v>249</v>
      </c>
      <c r="F6" s="11" t="s">
        <v>228</v>
      </c>
      <c r="G6" s="11" t="s">
        <v>228</v>
      </c>
      <c r="H6" s="11" t="s">
        <v>250</v>
      </c>
      <c r="I6" s="11" t="s">
        <v>251</v>
      </c>
    </row>
    <row r="7" spans="1:9">
      <c r="A7">
        <v>6</v>
      </c>
      <c r="B7" t="s">
        <v>252</v>
      </c>
      <c r="C7" t="s">
        <v>253</v>
      </c>
      <c r="D7" t="s">
        <v>254</v>
      </c>
      <c r="E7" t="s">
        <v>66</v>
      </c>
      <c r="F7" s="11" t="s">
        <v>228</v>
      </c>
      <c r="G7" s="11" t="s">
        <v>228</v>
      </c>
      <c r="H7" s="11" t="s">
        <v>250</v>
      </c>
      <c r="I7" s="11" t="s">
        <v>251</v>
      </c>
    </row>
    <row r="8" spans="1:9">
      <c r="A8">
        <v>7</v>
      </c>
      <c r="B8" t="s">
        <v>255</v>
      </c>
      <c r="C8" t="s">
        <v>256</v>
      </c>
      <c r="D8" t="s">
        <v>257</v>
      </c>
      <c r="E8" t="s">
        <v>258</v>
      </c>
      <c r="F8" s="11" t="s">
        <v>228</v>
      </c>
      <c r="G8" s="11" t="s">
        <v>229</v>
      </c>
      <c r="H8" s="11" t="s">
        <v>235</v>
      </c>
      <c r="I8" s="11" t="s">
        <v>240</v>
      </c>
    </row>
    <row r="9" spans="1:9">
      <c r="A9">
        <v>8</v>
      </c>
      <c r="B9" t="s">
        <v>259</v>
      </c>
      <c r="C9" t="s">
        <v>260</v>
      </c>
      <c r="D9" t="s">
        <v>261</v>
      </c>
      <c r="E9" t="s">
        <v>227</v>
      </c>
      <c r="F9" s="11" t="s">
        <v>229</v>
      </c>
      <c r="G9" s="11" t="s">
        <v>229</v>
      </c>
      <c r="H9" s="11" t="s">
        <v>262</v>
      </c>
      <c r="I9" s="11" t="s">
        <v>245</v>
      </c>
    </row>
    <row r="10" spans="1:9">
      <c r="A10">
        <v>9</v>
      </c>
      <c r="B10" t="s">
        <v>263</v>
      </c>
      <c r="C10" t="s">
        <v>264</v>
      </c>
      <c r="D10" t="s">
        <v>265</v>
      </c>
      <c r="E10" t="s">
        <v>249</v>
      </c>
      <c r="F10" s="11" t="s">
        <v>228</v>
      </c>
      <c r="G10" s="11" t="s">
        <v>228</v>
      </c>
      <c r="H10" s="11" t="s">
        <v>250</v>
      </c>
      <c r="I10" s="11" t="s">
        <v>251</v>
      </c>
    </row>
    <row r="11" spans="1:9">
      <c r="A11">
        <v>10</v>
      </c>
      <c r="B11" t="s">
        <v>266</v>
      </c>
      <c r="C11" t="s">
        <v>267</v>
      </c>
      <c r="D11" t="s">
        <v>70</v>
      </c>
      <c r="E11" t="s">
        <v>227</v>
      </c>
      <c r="F11" s="11" t="s">
        <v>228</v>
      </c>
      <c r="G11" s="11" t="s">
        <v>229</v>
      </c>
      <c r="H11" s="11" t="s">
        <v>230</v>
      </c>
      <c r="I11" s="11" t="s">
        <v>231</v>
      </c>
    </row>
    <row r="12" spans="1:9">
      <c r="A12">
        <v>11</v>
      </c>
      <c r="B12" t="s">
        <v>268</v>
      </c>
      <c r="C12" t="s">
        <v>269</v>
      </c>
      <c r="D12" t="s">
        <v>270</v>
      </c>
      <c r="E12" t="s">
        <v>258</v>
      </c>
      <c r="F12" s="11" t="s">
        <v>229</v>
      </c>
      <c r="G12" s="11" t="s">
        <v>228</v>
      </c>
      <c r="H12" s="11" t="s">
        <v>235</v>
      </c>
      <c r="I12" s="11" t="s">
        <v>236</v>
      </c>
    </row>
    <row r="13" spans="1:9">
      <c r="A13">
        <v>12</v>
      </c>
      <c r="B13" t="s">
        <v>271</v>
      </c>
      <c r="C13" t="s">
        <v>272</v>
      </c>
      <c r="D13" t="s">
        <v>273</v>
      </c>
      <c r="E13" t="s">
        <v>66</v>
      </c>
      <c r="F13" s="11" t="s">
        <v>228</v>
      </c>
      <c r="G13" s="11" t="s">
        <v>229</v>
      </c>
      <c r="H13" s="11" t="s">
        <v>230</v>
      </c>
      <c r="I13" s="11" t="s">
        <v>240</v>
      </c>
    </row>
    <row r="14" spans="1:9">
      <c r="A14">
        <v>13</v>
      </c>
      <c r="B14" t="s">
        <v>274</v>
      </c>
      <c r="C14" t="s">
        <v>275</v>
      </c>
      <c r="D14" t="s">
        <v>276</v>
      </c>
      <c r="E14" t="s">
        <v>227</v>
      </c>
      <c r="F14" s="11" t="s">
        <v>229</v>
      </c>
      <c r="G14" s="11" t="s">
        <v>229</v>
      </c>
      <c r="H14" s="11" t="s">
        <v>277</v>
      </c>
      <c r="I14" s="11" t="s">
        <v>245</v>
      </c>
    </row>
    <row r="15" spans="1:9">
      <c r="A15">
        <v>14</v>
      </c>
      <c r="B15" t="s">
        <v>278</v>
      </c>
      <c r="C15" t="s">
        <v>279</v>
      </c>
      <c r="D15" t="s">
        <v>280</v>
      </c>
      <c r="E15" t="s">
        <v>249</v>
      </c>
      <c r="F15" s="11" t="s">
        <v>228</v>
      </c>
      <c r="G15" s="11" t="s">
        <v>228</v>
      </c>
      <c r="H15" s="11" t="s">
        <v>235</v>
      </c>
      <c r="I15" s="11" t="s">
        <v>251</v>
      </c>
    </row>
    <row r="16" spans="1:9">
      <c r="A16">
        <v>15</v>
      </c>
      <c r="B16" t="s">
        <v>281</v>
      </c>
      <c r="C16" t="s">
        <v>282</v>
      </c>
      <c r="D16" t="s">
        <v>283</v>
      </c>
      <c r="E16" t="s">
        <v>284</v>
      </c>
      <c r="F16" s="11" t="s">
        <v>228</v>
      </c>
      <c r="G16" s="11" t="s">
        <v>228</v>
      </c>
      <c r="H16" s="11" t="s">
        <v>250</v>
      </c>
      <c r="I16" s="11" t="s">
        <v>251</v>
      </c>
    </row>
    <row r="17" spans="1:9">
      <c r="A17">
        <v>16</v>
      </c>
      <c r="B17" t="s">
        <v>285</v>
      </c>
      <c r="C17" t="s">
        <v>286</v>
      </c>
      <c r="D17" t="s">
        <v>287</v>
      </c>
      <c r="E17" t="s">
        <v>227</v>
      </c>
      <c r="F17" s="11" t="s">
        <v>228</v>
      </c>
      <c r="G17" s="11" t="s">
        <v>228</v>
      </c>
      <c r="H17" s="11" t="s">
        <v>250</v>
      </c>
      <c r="I17" s="11" t="s">
        <v>251</v>
      </c>
    </row>
    <row r="18" spans="1:9">
      <c r="A18">
        <v>17</v>
      </c>
      <c r="B18" t="s">
        <v>288</v>
      </c>
      <c r="C18" t="s">
        <v>289</v>
      </c>
      <c r="D18" t="s">
        <v>290</v>
      </c>
      <c r="E18" t="s">
        <v>66</v>
      </c>
      <c r="F18" s="11" t="s">
        <v>228</v>
      </c>
      <c r="G18" s="11" t="s">
        <v>229</v>
      </c>
      <c r="H18" s="11" t="s">
        <v>235</v>
      </c>
      <c r="I18" s="11" t="s">
        <v>240</v>
      </c>
    </row>
    <row r="19" spans="1:9">
      <c r="A19">
        <v>18</v>
      </c>
      <c r="B19" t="s">
        <v>291</v>
      </c>
      <c r="C19" t="s">
        <v>292</v>
      </c>
      <c r="D19" t="s">
        <v>293</v>
      </c>
      <c r="E19" t="s">
        <v>66</v>
      </c>
      <c r="F19" s="11" t="s">
        <v>229</v>
      </c>
      <c r="G19" s="11" t="s">
        <v>229</v>
      </c>
      <c r="H19" s="11" t="s">
        <v>230</v>
      </c>
      <c r="I19" s="11" t="s">
        <v>245</v>
      </c>
    </row>
    <row r="20" spans="1:9">
      <c r="A20">
        <v>19</v>
      </c>
      <c r="B20" t="s">
        <v>294</v>
      </c>
      <c r="C20" t="s">
        <v>295</v>
      </c>
      <c r="D20" t="s">
        <v>296</v>
      </c>
      <c r="E20" t="s">
        <v>249</v>
      </c>
      <c r="F20" s="11" t="s">
        <v>228</v>
      </c>
      <c r="G20" s="11" t="s">
        <v>228</v>
      </c>
      <c r="H20" s="11" t="s">
        <v>230</v>
      </c>
      <c r="I20" s="11" t="s">
        <v>251</v>
      </c>
    </row>
    <row r="21" spans="1:9">
      <c r="A21">
        <v>20</v>
      </c>
      <c r="B21" t="s">
        <v>297</v>
      </c>
      <c r="C21" t="s">
        <v>298</v>
      </c>
      <c r="D21" t="s">
        <v>299</v>
      </c>
      <c r="E21" t="s">
        <v>258</v>
      </c>
      <c r="F21" s="11" t="s">
        <v>228</v>
      </c>
      <c r="G21" s="11" t="s">
        <v>228</v>
      </c>
      <c r="H21" s="11" t="s">
        <v>235</v>
      </c>
      <c r="I21" s="11" t="s">
        <v>236</v>
      </c>
    </row>
    <row r="22" spans="1:9">
      <c r="A22">
        <v>21</v>
      </c>
      <c r="B22" t="s">
        <v>300</v>
      </c>
      <c r="C22" t="s">
        <v>301</v>
      </c>
      <c r="D22" t="s">
        <v>302</v>
      </c>
      <c r="E22" t="s">
        <v>227</v>
      </c>
      <c r="F22" s="11" t="s">
        <v>228</v>
      </c>
      <c r="G22" s="11" t="s">
        <v>229</v>
      </c>
      <c r="H22" s="11" t="s">
        <v>235</v>
      </c>
      <c r="I22" s="11" t="s">
        <v>240</v>
      </c>
    </row>
    <row r="23" spans="1:9">
      <c r="A23">
        <v>22</v>
      </c>
      <c r="B23" t="s">
        <v>303</v>
      </c>
      <c r="C23" t="s">
        <v>304</v>
      </c>
      <c r="D23" t="s">
        <v>70</v>
      </c>
      <c r="E23" t="s">
        <v>227</v>
      </c>
      <c r="F23" s="11" t="s">
        <v>228</v>
      </c>
      <c r="G23" s="11" t="s">
        <v>229</v>
      </c>
      <c r="H23" s="11" t="s">
        <v>230</v>
      </c>
      <c r="I23" s="11" t="s">
        <v>231</v>
      </c>
    </row>
    <row r="24" spans="1:9">
      <c r="A24">
        <v>23</v>
      </c>
      <c r="B24" t="s">
        <v>305</v>
      </c>
      <c r="C24" t="s">
        <v>306</v>
      </c>
      <c r="D24" t="s">
        <v>307</v>
      </c>
      <c r="E24" t="s">
        <v>66</v>
      </c>
      <c r="F24" s="11" t="s">
        <v>228</v>
      </c>
      <c r="G24" s="11" t="s">
        <v>228</v>
      </c>
      <c r="H24" s="11" t="s">
        <v>250</v>
      </c>
      <c r="I24" s="11" t="s">
        <v>251</v>
      </c>
    </row>
    <row r="25" spans="1:9">
      <c r="A25">
        <v>24</v>
      </c>
      <c r="B25" t="s">
        <v>308</v>
      </c>
      <c r="C25" t="s">
        <v>309</v>
      </c>
      <c r="D25" t="s">
        <v>310</v>
      </c>
      <c r="E25" t="s">
        <v>227</v>
      </c>
      <c r="F25" s="11" t="s">
        <v>229</v>
      </c>
      <c r="G25" s="11" t="s">
        <v>229</v>
      </c>
      <c r="H25" s="11" t="s">
        <v>311</v>
      </c>
      <c r="I25" s="11" t="s">
        <v>245</v>
      </c>
    </row>
    <row r="26" spans="1:9">
      <c r="A26">
        <v>25</v>
      </c>
      <c r="B26" t="s">
        <v>312</v>
      </c>
      <c r="C26" t="s">
        <v>313</v>
      </c>
      <c r="D26" t="s">
        <v>314</v>
      </c>
      <c r="E26" t="s">
        <v>258</v>
      </c>
      <c r="F26" s="11" t="s">
        <v>229</v>
      </c>
      <c r="G26" s="11" t="s">
        <v>229</v>
      </c>
      <c r="H26" s="11" t="s">
        <v>235</v>
      </c>
      <c r="I26" s="11" t="s">
        <v>236</v>
      </c>
    </row>
    <row r="27" spans="1:9">
      <c r="A27">
        <v>26</v>
      </c>
      <c r="B27" t="s">
        <v>315</v>
      </c>
      <c r="C27" t="s">
        <v>316</v>
      </c>
      <c r="D27" t="s">
        <v>317</v>
      </c>
      <c r="E27" t="s">
        <v>284</v>
      </c>
      <c r="F27" s="11" t="s">
        <v>228</v>
      </c>
      <c r="G27" s="11" t="s">
        <v>228</v>
      </c>
      <c r="H27" s="11" t="s">
        <v>250</v>
      </c>
      <c r="I27" s="11" t="s">
        <v>251</v>
      </c>
    </row>
    <row r="28" spans="1:9">
      <c r="A28">
        <v>27</v>
      </c>
      <c r="B28" t="s">
        <v>318</v>
      </c>
      <c r="C28" t="s">
        <v>319</v>
      </c>
      <c r="D28" t="s">
        <v>320</v>
      </c>
      <c r="E28" t="s">
        <v>66</v>
      </c>
      <c r="F28" s="11" t="s">
        <v>228</v>
      </c>
      <c r="G28" s="11" t="s">
        <v>229</v>
      </c>
      <c r="H28" s="11" t="s">
        <v>235</v>
      </c>
      <c r="I28" s="11" t="s">
        <v>240</v>
      </c>
    </row>
    <row r="29" spans="1:9">
      <c r="A29">
        <v>28</v>
      </c>
      <c r="B29" t="s">
        <v>321</v>
      </c>
      <c r="C29" t="s">
        <v>322</v>
      </c>
      <c r="D29" t="s">
        <v>323</v>
      </c>
      <c r="E29" t="s">
        <v>249</v>
      </c>
      <c r="F29" s="11" t="s">
        <v>228</v>
      </c>
      <c r="G29" s="11" t="s">
        <v>228</v>
      </c>
      <c r="H29" s="11" t="s">
        <v>230</v>
      </c>
      <c r="I29" s="11" t="s">
        <v>251</v>
      </c>
    </row>
    <row r="30" spans="1:9">
      <c r="A30">
        <v>29</v>
      </c>
      <c r="B30" t="s">
        <v>324</v>
      </c>
      <c r="C30" t="s">
        <v>325</v>
      </c>
      <c r="D30" t="s">
        <v>326</v>
      </c>
      <c r="E30" t="s">
        <v>66</v>
      </c>
      <c r="F30" s="11" t="s">
        <v>228</v>
      </c>
      <c r="G30" s="11" t="s">
        <v>228</v>
      </c>
      <c r="H30" s="11" t="s">
        <v>327</v>
      </c>
      <c r="I30" s="11" t="s">
        <v>236</v>
      </c>
    </row>
    <row r="31" spans="1:9">
      <c r="A31">
        <v>30</v>
      </c>
      <c r="B31" t="s">
        <v>328</v>
      </c>
      <c r="C31" t="s">
        <v>329</v>
      </c>
      <c r="D31" t="s">
        <v>330</v>
      </c>
      <c r="E31" t="s">
        <v>249</v>
      </c>
      <c r="F31" s="11" t="s">
        <v>228</v>
      </c>
      <c r="G31" s="11" t="s">
        <v>228</v>
      </c>
      <c r="H31" s="11" t="s">
        <v>230</v>
      </c>
      <c r="I31" s="11" t="s">
        <v>251</v>
      </c>
    </row>
  </sheetData>
  <autoFilter ref="I1:I31" xr:uid="{C48CAEA7-0FC4-4F40-A4D6-51EF0C8DD4A2}"/>
  <pageMargins left="0.7" right="0.7" top="0.78740157499999996" bottom="0.78740157499999996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C0CBB-DA4A-4951-BAB6-656D9C7CB001}">
  <dimension ref="A1:D31"/>
  <sheetViews>
    <sheetView workbookViewId="0">
      <selection activeCell="G19" sqref="G19"/>
    </sheetView>
  </sheetViews>
  <sheetFormatPr defaultColWidth="11.42578125" defaultRowHeight="15"/>
  <cols>
    <col min="1" max="1" width="21" bestFit="1" customWidth="1"/>
    <col min="2" max="2" width="12.140625" hidden="1" customWidth="1"/>
    <col min="3" max="3" width="50.140625" hidden="1" customWidth="1"/>
    <col min="4" max="4" width="48.7109375" customWidth="1"/>
  </cols>
  <sheetData>
    <row r="1" spans="1:4">
      <c r="A1" t="s">
        <v>218</v>
      </c>
      <c r="B1" t="s">
        <v>331</v>
      </c>
      <c r="C1" t="s">
        <v>332</v>
      </c>
      <c r="D1" t="s">
        <v>333</v>
      </c>
    </row>
    <row r="2" spans="1:4">
      <c r="A2" s="10" t="s">
        <v>334</v>
      </c>
      <c r="B2" s="10" t="s">
        <v>335</v>
      </c>
      <c r="C2" s="10" t="s">
        <v>336</v>
      </c>
      <c r="D2" t="s">
        <v>337</v>
      </c>
    </row>
    <row r="3" spans="1:4">
      <c r="D3" t="s">
        <v>338</v>
      </c>
    </row>
    <row r="4" spans="1:4">
      <c r="D4" t="s">
        <v>339</v>
      </c>
    </row>
    <row r="5" spans="1:4">
      <c r="A5" s="10" t="s">
        <v>340</v>
      </c>
      <c r="B5" s="10" t="s">
        <v>341</v>
      </c>
      <c r="C5" s="10" t="s">
        <v>342</v>
      </c>
      <c r="D5" t="s">
        <v>343</v>
      </c>
    </row>
    <row r="6" spans="1:4">
      <c r="D6" t="s">
        <v>344</v>
      </c>
    </row>
    <row r="7" spans="1:4">
      <c r="D7" t="s">
        <v>345</v>
      </c>
    </row>
    <row r="8" spans="1:4">
      <c r="A8" s="10" t="s">
        <v>346</v>
      </c>
      <c r="B8" s="10" t="s">
        <v>341</v>
      </c>
      <c r="C8" s="10" t="s">
        <v>342</v>
      </c>
      <c r="D8" t="s">
        <v>343</v>
      </c>
    </row>
    <row r="9" spans="1:4">
      <c r="D9" t="s">
        <v>344</v>
      </c>
    </row>
    <row r="10" spans="1:4">
      <c r="D10" t="s">
        <v>345</v>
      </c>
    </row>
    <row r="11" spans="1:4">
      <c r="A11" s="10" t="s">
        <v>347</v>
      </c>
      <c r="B11" s="10" t="s">
        <v>341</v>
      </c>
      <c r="C11" s="10" t="s">
        <v>348</v>
      </c>
      <c r="D11" t="s">
        <v>343</v>
      </c>
    </row>
    <row r="12" spans="1:4">
      <c r="D12" t="s">
        <v>338</v>
      </c>
    </row>
    <row r="13" spans="1:4">
      <c r="D13" t="s">
        <v>345</v>
      </c>
    </row>
    <row r="14" spans="1:4">
      <c r="A14" s="10" t="s">
        <v>349</v>
      </c>
      <c r="B14" s="10" t="s">
        <v>335</v>
      </c>
      <c r="C14" s="10" t="s">
        <v>336</v>
      </c>
      <c r="D14" t="s">
        <v>337</v>
      </c>
    </row>
    <row r="15" spans="1:4">
      <c r="D15" t="s">
        <v>338</v>
      </c>
    </row>
    <row r="16" spans="1:4">
      <c r="D16" t="s">
        <v>339</v>
      </c>
    </row>
    <row r="17" spans="1:4">
      <c r="A17" s="10" t="s">
        <v>350</v>
      </c>
      <c r="B17" s="10" t="s">
        <v>341</v>
      </c>
      <c r="C17" s="10" t="s">
        <v>342</v>
      </c>
      <c r="D17" t="s">
        <v>343</v>
      </c>
    </row>
    <row r="18" spans="1:4">
      <c r="D18" t="s">
        <v>344</v>
      </c>
    </row>
    <row r="19" spans="1:4">
      <c r="D19" t="s">
        <v>345</v>
      </c>
    </row>
    <row r="20" spans="1:4">
      <c r="A20" s="10" t="s">
        <v>351</v>
      </c>
      <c r="B20" s="10" t="s">
        <v>341</v>
      </c>
      <c r="C20" s="10" t="s">
        <v>342</v>
      </c>
      <c r="D20" t="s">
        <v>343</v>
      </c>
    </row>
    <row r="21" spans="1:4">
      <c r="D21" t="s">
        <v>344</v>
      </c>
    </row>
    <row r="22" spans="1:4">
      <c r="D22" t="s">
        <v>345</v>
      </c>
    </row>
    <row r="23" spans="1:4">
      <c r="A23" s="10" t="s">
        <v>352</v>
      </c>
      <c r="B23" s="10" t="s">
        <v>341</v>
      </c>
      <c r="C23" s="10" t="s">
        <v>342</v>
      </c>
      <c r="D23" t="s">
        <v>343</v>
      </c>
    </row>
    <row r="24" spans="1:4">
      <c r="D24" t="s">
        <v>344</v>
      </c>
    </row>
    <row r="25" spans="1:4">
      <c r="D25" t="s">
        <v>345</v>
      </c>
    </row>
    <row r="26" spans="1:4">
      <c r="A26" s="10" t="s">
        <v>353</v>
      </c>
      <c r="B26" s="10" t="s">
        <v>341</v>
      </c>
      <c r="C26" s="10" t="s">
        <v>342</v>
      </c>
      <c r="D26" t="s">
        <v>343</v>
      </c>
    </row>
    <row r="27" spans="1:4">
      <c r="D27" t="s">
        <v>344</v>
      </c>
    </row>
    <row r="28" spans="1:4">
      <c r="D28" t="s">
        <v>345</v>
      </c>
    </row>
    <row r="29" spans="1:4">
      <c r="A29" s="10" t="s">
        <v>354</v>
      </c>
      <c r="B29" s="10" t="s">
        <v>341</v>
      </c>
      <c r="C29" s="10" t="s">
        <v>342</v>
      </c>
      <c r="D29" t="s">
        <v>343</v>
      </c>
    </row>
    <row r="30" spans="1:4">
      <c r="D30" t="s">
        <v>344</v>
      </c>
    </row>
    <row r="31" spans="1:4">
      <c r="D31" t="s">
        <v>345</v>
      </c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Barış Taşın</cp:lastModifiedBy>
  <cp:revision/>
  <dcterms:created xsi:type="dcterms:W3CDTF">2026-05-19T05:24:19Z</dcterms:created>
  <dcterms:modified xsi:type="dcterms:W3CDTF">2026-05-22T11:10:14Z</dcterms:modified>
  <cp:category/>
  <cp:contentStatus/>
</cp:coreProperties>
</file>